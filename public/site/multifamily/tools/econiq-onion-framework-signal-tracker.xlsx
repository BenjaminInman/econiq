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media/image1.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Layer 3 - Macro" sheetId="2" state="visible" r:id="rId4"/>
    <sheet name="Layer 2 - Industry" sheetId="3" state="visible" r:id="rId5"/>
    <sheet name="Layer 1 - Submarket" sheetId="4" state="visible" r:id="rId6"/>
    <sheet name="Correlation Analysi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<sst xmlns="http://schemas.openxmlformats.org/spreadsheetml/2006/main" count="183" uniqueCount="135">
  <si>
    <t xml:space="preserve">When &gt; How</t>
  </si>
  <si>
    <t xml:space="preserve">The Onion Framework — DIY Signal Tracker</t>
  </si>
  <si>
    <t xml:space="preserve">Manual Signal &amp; Indicator Monitoring Across the Three Layers</t>
  </si>
  <si>
    <t xml:space="preserve">WHO THIS IS FOR</t>
  </si>
  <si>
    <t xml:space="preserve">This tracker is built for the cycle-aware operator who prefers a hands-on, do-it-yourself approach to monitoring signals. If you would rather manually enter and track your own data than rely on the Cignal Dashboard, this workbook gives you a structured home for the work. Everything is organized around the Onion Framework's three layers, so the data you enter maps directly to the methodology you learned in training.</t>
  </si>
  <si>
    <t xml:space="preserve">HOW THE ONION FRAMEWORK IS ORGANIZED HERE</t>
  </si>
  <si>
    <t xml:space="preserve">The Onion Framework reads signals from the outside in. This workbook gives each layer its own sheet:</t>
  </si>
  <si>
    <t xml:space="preserve">     •  LAYER 3 — Macroeconomic Signals (the outermost layer):  the broad economic forces acting on multifamily from outside. Longest lead time, typically 12-24+ months ahead of submarket operations. 12 national signals.</t>
  </si>
  <si>
    <t xml:space="preserve">     •  LAYER 2 — Industry Signals (the middle layer):  what multifamily is doing nationally as an asset class. Medium lead time, typically 6-12 months. The transition signals.</t>
  </si>
  <si>
    <t xml:space="preserve">     •  LAYER 1 — Submarket Signals (the innermost core):  where your specific property actually competes. Shortest lead time, typically 3-6 months. 5 local signals.</t>
  </si>
  <si>
    <t xml:space="preserve">HOW TO USE THIS WORKBOOK</t>
  </si>
  <si>
    <t xml:space="preserve">1.  Enter your data in the BLUE cells. Blue always means an input you fill in yourself. Black cells are calculated automatically — do not overwrite them.</t>
  </si>
  <si>
    <t xml:space="preserve">2.  Work through one layer sheet at a time. Enter the value for each signal for each year you are tracking. The sheets are pre-loaded with years 2018-2026; overwrite the year headers if you want different periods.</t>
  </si>
  <si>
    <t xml:space="preserve">3.  Each layer sheet calculates the year-over-year change and a simple trend direction for every signal automatically, so you can see at a glance which signals are rising, falling, or holding.</t>
  </si>
  <si>
    <t xml:space="preserve">4.  Use the CORRELATION ANALYSIS sheet to compare any two signals against each other across multiple years. The sheet calculates a correlation coefficient and gives you a plain-language read on whether the two signals tend to move together, move opposite, or show no clear relationship.</t>
  </si>
  <si>
    <t xml:space="preserve">5.  Always interpret correlation through the lens of the methodology: correlation is not causation. The correlation tool tells you whether two signals move together; your judgment, informed by the Onion Framework's cascading logic, tells you whether one is actually driving the other.</t>
  </si>
  <si>
    <t xml:space="preserve">A NOTE ON CORRELATION VS. CAUSATION</t>
  </si>
  <si>
    <t xml:space="preserve">The correlation tool measures statistical relationship only. A high correlation coefficient means two signals have historically moved together — it does NOT prove that one causes the other. Two signals can correlate because one drives the other (causation), because both are driven by a third hidden factor (confounding), or by pure coincidence. Use the Onion Framework's cascading principle to reason about causation: changes generally flow from Layer 3 (macro) inward to Layer 1 (submarket) with predictable lags. A Layer 3 signal leading a Layer 1 signal is far more likely to reflect genuine causation than the reverse. The tool gives you the math; you supply the cycle-aware judgment.</t>
  </si>
  <si>
    <t xml:space="preserve">DATA SOURCES</t>
  </si>
  <si>
    <t xml:space="preserve">Layer 3 (macro): FRED (Federal Reserve Economic Data), Bureau of Labor Statistics, Bureau of Economic Analysis. Layer 2 (industry): Census Bureau permits, CoStar, Yardi Matrix, RealPage, CBRE/JLL research. Layer 1 (submarket): local permit offices, CoStar submarket data, Apartments.com, local market reports. Each layer sheet includes a suggested-source note for every signal.</t>
  </si>
  <si>
    <t xml:space="preserve">ECONIQ  ·  The Onion Framework DIY Signal Tracker  ·  v1.1</t>
  </si>
  <si>
    <t xml:space="preserve">Layer 3 — Macroeconomic Signals</t>
  </si>
  <si>
    <t xml:space="preserve">The outermost layer. Economic forces acting on multifamily from outside.</t>
  </si>
  <si>
    <t xml:space="preserve">Lead time: typically 12-24+ months ahead of submarket operations</t>
  </si>
  <si>
    <t xml:space="preserve">Enter values in the blue cells. Year-over-year change and trend are calculated automatically. Overwrite year headers if you track different periods.</t>
  </si>
  <si>
    <t xml:space="preserve">Signal</t>
  </si>
  <si>
    <t xml:space="preserve">Unit / Measure</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</si>
  <si>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</si>
  <si>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</si>
  <si>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</si>
  <si>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</si>
  <si>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</si>
  <si>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</si>
  <si>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</si>
  <si>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</si>
  <si>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</si>
  <si>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Latest YoY</t>
  </si>
  <si>
    <t xml:space="preserve">Trend</t>
  </si>
  <si>
    <t xml:space="preserve">Suggested Source</t>
  </si>
  <si>
    <t xml:space="preserve">Real Consumer Spending (PCE)</t>
  </si>
  <si>
    <t xml:space="preserve">% chg / index</t>
  </si>
  <si>
    <t xml:space="preserve">BEA — Personal Consumption Expenditures, monthly</t>
  </si>
  <si>
    <t xml:space="preserve">Unemployment Rate</t>
  </si>
  <si>
    <t xml:space="preserve">%</t>
  </si>
  <si>
    <t xml:space="preserve">BLS — Current Population Survey, monthly</t>
  </si>
  <si>
    <t xml:space="preserve">Wage Growth</t>
  </si>
  <si>
    <t xml:space="preserve">% YoY</t>
  </si>
  <si>
    <t xml:space="preserve">BLS — Avg Hourly Earnings / ECI, monthly/quarterly</t>
  </si>
  <si>
    <t xml:space="preserve">Consumer Confidence Index</t>
  </si>
  <si>
    <t xml:space="preserve">index</t>
  </si>
  <si>
    <t xml:space="preserve">Conference Board / Univ. of Michigan, monthly</t>
  </si>
  <si>
    <t xml:space="preserve">GDP (Gross Domestic Product)</t>
  </si>
  <si>
    <t xml:space="preserve">% annualized</t>
  </si>
  <si>
    <t xml:space="preserve">BEA — Quarterly GDP release</t>
  </si>
  <si>
    <t xml:space="preserve">Stock Market</t>
  </si>
  <si>
    <t xml:space="preserve">index level</t>
  </si>
  <si>
    <t xml:space="preserve">S&amp;P 500 / public markets, real-time</t>
  </si>
  <si>
    <t xml:space="preserve">Inflation (CPI)</t>
  </si>
  <si>
    <t xml:space="preserve">BLS — Consumer Price Index, monthly</t>
  </si>
  <si>
    <t xml:space="preserve">Interest Rates (Fed Funds)</t>
  </si>
  <si>
    <t xml:space="preserve">Federal Reserve / FRED, 8x per year (FOMC)</t>
  </si>
  <si>
    <t xml:space="preserve">Behavioral Signals</t>
  </si>
  <si>
    <t xml:space="preserve">scale 1-10</t>
  </si>
  <si>
    <t xml:space="preserve">Qualitative — your own observation log</t>
  </si>
  <si>
    <t xml:space="preserve">Flow of Funds</t>
  </si>
  <si>
    <t xml:space="preserve">$ / direction</t>
  </si>
  <si>
    <t xml:space="preserve">Fed Z.1 / capital flow reports, quarterly</t>
  </si>
  <si>
    <t xml:space="preserve">Yield Curve (10yr - 2yr)</t>
  </si>
  <si>
    <t xml:space="preserve">spread %</t>
  </si>
  <si>
    <t xml:space="preserve">FRED — T10Y2Y, daily</t>
  </si>
  <si>
    <t xml:space="preserve">Foreclosures</t>
  </si>
  <si>
    <t xml:space="preserve">count / rate</t>
  </si>
  <si>
    <t xml:space="preserve">ATTOM / county records, monthly</t>
  </si>
  <si>
    <t xml:space="preserve">Trend logic: Rising = latest YoY above +2%, Falling = below -2%, Flat = between. Adjust thresholds to your preference by editing the Trend column formulas.</t>
  </si>
  <si>
    <t xml:space="preserve">Layer 2 — Multifamily Industry Signals</t>
  </si>
  <si>
    <t xml:space="preserve">The middle layer. What multifamily is doing nationally as an asset class.</t>
  </si>
  <si>
    <t xml:space="preserve">Lead time: typically 6-12 months ahead of submarket operations</t>
  </si>
  <si>
    <t xml:space="preserve">Construction Start Trends</t>
  </si>
  <si>
    <t xml:space="preserve">units / % chg</t>
  </si>
  <si>
    <t xml:space="preserve">Census Bureau — Housing Starts (5+ units), monthly</t>
  </si>
  <si>
    <t xml:space="preserve">Permit Velocity (national)</t>
  </si>
  <si>
    <t xml:space="preserve">permits / % chg</t>
  </si>
  <si>
    <t xml:space="preserve">Census Bureau — Building Permits, monthly</t>
  </si>
  <si>
    <t xml:space="preserve">Absorption vs. Delivery Rate</t>
  </si>
  <si>
    <t xml:space="preserve">ratio</t>
  </si>
  <si>
    <t xml:space="preserve">CoStar / Yardi Matrix / RealPage, quarterly</t>
  </si>
  <si>
    <t xml:space="preserve">Concession Activity (national)</t>
  </si>
  <si>
    <t xml:space="preserve">% / weeks free</t>
  </si>
  <si>
    <t xml:space="preserve">RealPage / Yardi Matrix, monthly</t>
  </si>
  <si>
    <t xml:space="preserve">Capital Markets Sentiment</t>
  </si>
  <si>
    <t xml:space="preserve">CBRE / JLL / Cushman investor surveys, quarterly</t>
  </si>
  <si>
    <t xml:space="preserve">National Vacancy Rate</t>
  </si>
  <si>
    <t xml:space="preserve">CoStar / RealPage / Census HVS, quarterly</t>
  </si>
  <si>
    <t xml:space="preserve">National Rent Growth</t>
  </si>
  <si>
    <t xml:space="preserve">CoStar / Yardi Matrix / RealPage, monthly</t>
  </si>
  <si>
    <t xml:space="preserve">Transaction Volume</t>
  </si>
  <si>
    <t xml:space="preserve">$ / deal count</t>
  </si>
  <si>
    <t xml:space="preserve">Real Capital Analytics / MSCI, quarterly</t>
  </si>
  <si>
    <t xml:space="preserve">Layer 1 — Submarket Signals</t>
  </si>
  <si>
    <t xml:space="preserve">The innermost core. Where your specific property actually competes.</t>
  </si>
  <si>
    <t xml:space="preserve">Lead time: typically 3-6 months ahead of operational performance</t>
  </si>
  <si>
    <t xml:space="preserve">Job Growth (local)</t>
  </si>
  <si>
    <t xml:space="preserve">BLS metro data / local economic development, monthly</t>
  </si>
  <si>
    <t xml:space="preserve">Population Trends (local)</t>
  </si>
  <si>
    <t xml:space="preserve">% chg / net migration</t>
  </si>
  <si>
    <t xml:space="preserve">Census Bureau / state demographers, annual</t>
  </si>
  <si>
    <t xml:space="preserve">Construction Pipeline (local)</t>
  </si>
  <si>
    <t xml:space="preserve">units under construction</t>
  </si>
  <si>
    <t xml:space="preserve">Local permit office / CoStar submarket, monthly</t>
  </si>
  <si>
    <t xml:space="preserve">Path of Progress (local)</t>
  </si>
  <si>
    <t xml:space="preserve">Qualitative — infrastructure, capital flow, dev. corridors</t>
  </si>
  <si>
    <t xml:space="preserve">Housing Supply / Days on Market</t>
  </si>
  <si>
    <t xml:space="preserve">days</t>
  </si>
  <si>
    <t xml:space="preserve">CoStar submarket / Apartments.com / MLS, monthly</t>
  </si>
  <si>
    <t xml:space="preserve">Correlation &amp; Causation Analysis</t>
  </si>
  <si>
    <t xml:space="preserve">Compare any two signals to test whether they move together — then apply cycle-aware judgment to assess causation.</t>
  </si>
  <si>
    <t xml:space="preserve">STEP 1 — Name the two signals you are comparing (type the signal names in the blue cells)</t>
  </si>
  <si>
    <t xml:space="preserve">STEP 2 — Read the results</t>
  </si>
  <si>
    <t xml:space="preserve">Year</t>
  </si>
  <si>
    <t xml:space="preserve">Signal A</t>
  </si>
  <si>
    <t xml:space="preserve">Signal B</t>
  </si>
  <si>
    <t xml:space="preserve">Signal name →</t>
  </si>
  <si>
    <t xml:space="preserve">(e.g. Wage Growth)</t>
  </si>
  <si>
    <t xml:space="preserve">(e.g. Rent Growth)</t>
  </si>
  <si>
    <t xml:space="preserve">Correlation coefficient (r):</t>
  </si>
  <si>
    <t xml:space="preserve">Relationship strength:</t>
  </si>
  <si>
    <t xml:space="preserve">Direction:</t>
  </si>
  <si>
    <t xml:space="preserve">Plain-language read:</t>
  </si>
  <si>
    <t xml:space="preserve">STEP 3 — Apply cycle-aware judgment: is this correlation actually causation?</t>
  </si>
  <si>
    <t xml:space="preserve">Correlation tells you two signals move together. It does NOT tell you that one causes the other. Before you act on a correlation, work through these three questions from the methodology:</t>
  </si>
  <si>
    <t xml:space="preserve">1.  LAYER LOGIC — Which layer does each signal belong to? The Onion Framework's cascading principle says changes flow from Layer 3 (macro) inward to Layer 1 (submarket) with predictable lags. If your Signal A is an outer-layer signal (macro) and Signal B is an inner-layer signal (submarket), and A leads B in time, genuine causation is plausible. If the inner-layer signal appears to 'cause' the outer-layer signal, you are almost certainly looking at coincidence or a confounding factor.</t>
  </si>
  <si>
    <t xml:space="preserve">2.  TIMING / LEAD-LAG — Does one signal consistently move BEFORE the other? Causation requires the cause to precede the effect. If both move at the same time, suspect a shared driver. If the 'effect' moves first, the causal story is backwards.</t>
  </si>
  <si>
    <t xml:space="preserve">3.  CONFOUNDING — Could a third factor be driving both? Two signals can correlate strongly because a hidden variable (often a Layer 3 macro force like interest rates) moves both of them. Always ask what upstream force could explain the relationship before concluding direct causation.</t>
  </si>
  <si>
    <t xml:space="preserve">Your causation conclusion (type your reasoning here):</t>
  </si>
  <si>
    <t xml:space="preserve">ECONIQ  ·  Correlation measures relationship, not cause. The math is the start of the analysis, not the end.  ·  v1.1</t>
  </si>
</sst>
</file>

<file path=xl/styles.xml><?xml version="1.0" encoding="utf-8"?>
<styleSheet xmlns="http://schemas.openxmlformats.org/spreadsheetml/2006/main">
  <numFmts count="4">
    <numFmt numFmtId="164" formatCode="General"/>
    <numFmt numFmtId="165" formatCode="#,##0.00"/>
    <numFmt numFmtId="166" formatCode="0.0%;\(0.0%\);\-"/>
    <numFmt numFmtId="167" formatCode="0.000"/>
  </numFmts>
  <fonts count="31">
    <font>
      <sz val="11"/>
      <color theme="1"/>
      <name val="Calibri"/>
      <family val="2"/>
      <charset val="1"/>
    </font>
    <font>
      <sz val="10"/>
      <name val="Arial"/>
      <family val="0"/>
    </font>
    <font>
      <sz val="10"/>
      <name val="Arial"/>
      <family val="0"/>
    </font>
    <font>
      <sz val="10"/>
      <name val="Arial"/>
      <family val="0"/>
    </font>
    <font>
      <b val="true"/>
      <sz val="36"/>
      <color rgb="FF1B3A2D"/>
      <name val="Arial"/>
      <family val="0"/>
      <charset val="1"/>
    </font>
    <font>
      <i val="true"/>
      <sz val="16"/>
      <color rgb="FFC9A84C"/>
      <name val="Arial"/>
      <family val="0"/>
      <charset val="1"/>
    </font>
    <font>
      <b val="true"/>
      <sz val="22"/>
      <color rgb="FF1B3A2D"/>
      <name val="Arial"/>
      <family val="0"/>
      <charset val="1"/>
    </font>
    <font>
      <i val="true"/>
      <sz val="13"/>
      <color rgb="FF2C2C2C"/>
      <name val="Arial"/>
      <family val="0"/>
      <charset val="1"/>
    </font>
    <font>
      <sz val="10.5"/>
      <color rgb="FF2C2C2C"/>
      <name val="Arial"/>
      <family val="0"/>
      <charset val="1"/>
    </font>
    <font>
      <b val="true"/>
      <sz val="12"/>
      <color rgb="FF1B3A2D"/>
      <name val="Arial"/>
      <family val="0"/>
      <charset val="1"/>
    </font>
    <font>
      <i val="true"/>
      <sz val="9"/>
      <color rgb="FF2C2C2C"/>
      <name val="Arial"/>
      <family val="0"/>
      <charset val="1"/>
    </font>
    <font>
      <b val="true"/>
      <sz val="18"/>
      <color rgb="FF1B3A2D"/>
      <name val="Arial"/>
      <family val="0"/>
      <charset val="1"/>
    </font>
    <font>
      <i val="true"/>
      <sz val="11"/>
      <color rgb="FF2C2C2C"/>
      <name val="Arial"/>
      <family val="0"/>
      <charset val="1"/>
    </font>
    <font>
      <b val="true"/>
      <sz val="10"/>
      <color rgb="FFC9A84C"/>
      <name val="Arial"/>
      <family val="0"/>
      <charset val="1"/>
    </font>
    <font>
      <b val="true"/>
      <sz val="10"/>
      <color rgb="FFFFFFFF"/>
      <name val="Arial"/>
      <family val="0"/>
      <charset val="1"/>
    </font>
    <font>
      <b val="true"/>
      <sz val="10"/>
      <color rgb="FF1B3A2D"/>
      <name val="Arial"/>
      <family val="0"/>
      <charset val="1"/>
    </font>
    <font>
      <sz val="10"/>
      <color rgb="FF0000FF"/>
      <name val="Arial"/>
      <family val="0"/>
      <charset val="1"/>
    </font>
    <font>
      <sz val="10"/>
      <color rgb="FF2C2C2C"/>
      <name val="Arial"/>
      <family val="0"/>
      <charset val="1"/>
    </font>
    <font>
      <b val="true"/>
      <sz val="10"/>
      <color rgb="FF2C2C2C"/>
      <name val="Arial"/>
      <family val="0"/>
      <charset val="1"/>
    </font>
    <font>
      <i val="true"/>
      <sz val="8.5"/>
      <color rgb="FF2C2C2C"/>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1B3A2D"/>
      <name val="Arial"/>
      <family val="0"/>
      <charset val="1"/>
    </font>
    <font>
      <b val="true"/>
      <i val="true"/>
      <sz val="9"/>
      <color rgb="FF2C2C2C"/>
      <name val="Arial"/>
      <family val="0"/>
      <charset val="1"/>
    </font>
    <font>
      <b val="true"/>
      <sz val="10"/>
      <color rgb="FF0000FF"/>
      <name val="Arial"/>
      <family val="0"/>
      <charset val="1"/>
    </font>
    <font>
      <b val="true"/>
      <sz val="14"/>
      <color rgb="FF1B3A2D"/>
      <name val="Arial"/>
      <family val="0"/>
      <charset val="1"/>
    </font>
    <font>
      <b val="true"/>
      <sz val="12"/>
      <color rgb="FF2C2C2C"/>
      <name val="Arial"/>
      <family val="0"/>
      <charset val="1"/>
    </font>
    <font>
      <sz val="9.5"/>
      <color rgb="FF2C2C2C"/>
      <name val="Arial"/>
      <family val="0"/>
      <charset val="1"/>
    </font>
    <font>
      <b val="true"/>
      <sz val="11"/>
      <color rgb="FFC9A84C"/>
      <name val="Arial"/>
      <family val="0"/>
      <charset val="1"/>
    </font>
    <font>
      <b val="true"/>
      <sz val="10.5"/>
      <color rgb="FF1B3A2D"/>
      <name val="Arial"/>
      <family val="0"/>
      <charset val="1"/>
    </font>
  </fonts>
  <fills count="6">
    <fill>
      <patternFill patternType="none"/>
    </fill>
    <fill>
      <patternFill patternType="gray125"/>
    </fill>
    <fill>
      <patternFill patternType="solid">
        <fgColor rgb="FFC9A84C"/>
        <bgColor rgb="FFCC8F8E"/>
      </patternFill>
    </fill>
    <fill>
      <patternFill patternType="solid">
        <fgColor rgb="FF1B3A2D"/>
        <bgColor rgb="FF2C2C2C"/>
      </patternFill>
    </fill>
    <fill>
      <patternFill patternType="solid">
        <fgColor rgb="FFE8EFE9"/>
        <bgColor rgb="FFF5F2EB"/>
      </patternFill>
    </fill>
    <fill>
      <patternFill patternType="solid">
        <fgColor rgb="FFF5F2EB"/>
        <bgColor rgb="FFE8EFE9"/>
      </patternFill>
    </fill>
  </fills>
  <borders count="5">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diagonal/>
    </border>
    <border diagonalUp="false" diagonalDown="false">
      <left style="thin">
        <color rgb="FFCCCCCC"/>
      </left>
      <right/>
      <top/>
      <bottom/>
      <diagonal/>
    </border>
    <border diagonalUp="false" diagonalDown="false">
      <left style="thin">
        <color rgb="FFCCCCCC"/>
      </left>
      <right/>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5" fontId="16" fillId="0" borderId="1" xfId="0" applyFont="true" applyBorder="true" applyAlignment="true" applyProtection="false">
      <alignment horizontal="center" vertical="center" textRotation="0" wrapText="true" indent="0" shrinkToFit="false"/>
      <protection locked="true" hidden="false"/>
    </xf>
    <xf numFmtId="166" fontId="17" fillId="0"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9" fillId="4"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9" fillId="5" borderId="1"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0" fillId="2" borderId="0" xfId="0" applyFont="false" applyBorder="true" applyAlignment="tru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left" vertical="center" textRotation="0" wrapText="true" indent="0" shrinkToFit="false"/>
      <protection locked="true" hidden="false"/>
    </xf>
    <xf numFmtId="164" fontId="24" fillId="5" borderId="1" xfId="0" applyFont="true" applyBorder="true" applyAlignment="true" applyProtection="false">
      <alignment horizontal="right" vertical="center" textRotation="0" wrapText="fals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left" vertical="center" textRotation="0" wrapText="true" indent="0" shrinkToFit="false"/>
      <protection locked="true" hidden="false"/>
    </xf>
    <xf numFmtId="167" fontId="26" fillId="0"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27" fillId="0"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28" fillId="0" borderId="0"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16" fillId="0" borderId="2" xfId="0" applyFont="true" applyBorder="true" applyAlignment="true" applyProtection="false">
      <alignment horizontal="left" vertical="top" textRotation="0" wrapText="true" indent="0" shrinkToFit="false"/>
      <protection locked="true" hidden="false"/>
    </xf>
    <xf numFmtId="164" fontId="16" fillId="0" borderId="3" xfId="0" applyFont="true" applyBorder="true" applyAlignment="true" applyProtection="false">
      <alignment horizontal="left" vertical="top" textRotation="0" wrapText="true" indent="0" shrinkToFit="false"/>
      <protection locked="true" hidden="false"/>
    </xf>
    <xf numFmtId="164" fontId="16" fillId="0" borderId="4" xfId="0" applyFont="true" applyBorder="true" applyAlignment="true" applyProtection="false">
      <alignment horizontal="left" vertical="top" textRotation="0" wrapText="true" indent="0" shrinkToFit="false"/>
      <protection locked="true" hidden="false"/>
    </xf>
    <xf numFmtId="164" fontId="29" fillId="3" borderId="0" xfId="0" applyFont="true" applyBorder="false" applyAlignment="true" applyProtection="false">
      <alignment horizontal="center" vertical="center" textRotation="0" wrapText="true" indent="0" shrinkToFit="false"/>
      <protection locked="true" hidden="false"/>
    </xf>
    <xf numFmtId="164" fontId="30" fillId="2" borderId="0" xfId="0" applyFont="true" applyBorder="fals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7A44B"/>
      <rgbColor rgb="FF800080"/>
      <rgbColor rgb="FF008080"/>
      <rgbColor rgb="FFCCCCCC"/>
      <rgbColor rgb="FF878787"/>
      <rgbColor rgb="FF8EA5CA"/>
      <rgbColor rgb="FFAA433F"/>
      <rgbColor rgb="FFF5F2EB"/>
      <rgbColor rgb="FFE8EFE9"/>
      <rgbColor rgb="FF660066"/>
      <rgbColor rgb="FFCC8F8E"/>
      <rgbColor rgb="FF4A7EBB"/>
      <rgbColor rgb="FFD9D9D9"/>
      <rgbColor rgb="FF000080"/>
      <rgbColor rgb="FFFF00FF"/>
      <rgbColor rgb="FFFFFF00"/>
      <rgbColor rgb="FF00FFFF"/>
      <rgbColor rgb="FF800080"/>
      <rgbColor rgb="FF800000"/>
      <rgbColor rgb="FF008080"/>
      <rgbColor rgb="FF0000FF"/>
      <rgbColor rgb="FF00CCFF"/>
      <rgbColor rgb="FFCCFFFF"/>
      <rgbColor rgb="FFB3C992"/>
      <rgbColor rgb="FFFFFF99"/>
      <rgbColor rgb="FF8CBFD2"/>
      <rgbColor rgb="FFFF99CC"/>
      <rgbColor rgb="FFCC99FF"/>
      <rgbColor rgb="FFF5B089"/>
      <rgbColor rgb="FF426FA6"/>
      <rgbColor rgb="FF46AAC4"/>
      <rgbColor rgb="FF98B855"/>
      <rgbColor rgb="FFC9A84C"/>
      <rgbColor rgb="FFDB8238"/>
      <rgbColor rgb="FFFF6600"/>
      <rgbColor rgb="FF6F568D"/>
      <rgbColor rgb="FFA596B9"/>
      <rgbColor rgb="FF003366"/>
      <rgbColor rgb="FF3D97AF"/>
      <rgbColor rgb="FF003300"/>
      <rgbColor rgb="FF1B3A2D"/>
      <rgbColor rgb="FF993300"/>
      <rgbColor rgb="FFBE4B48"/>
      <rgbColor rgb="FF7D5FA0"/>
      <rgbColor rgb="FF2C2C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Layer 3 — Macroeconomic Signals Over Time</a:t>
            </a:r>
          </a:p>
        </c:rich>
      </c:tx>
      <c:overlay val="0"/>
      <c:spPr>
        <a:noFill/>
        <a:ln w="0">
          <a:noFill/>
        </a:ln>
      </c:spPr>
    </c:title>
    <c:autoTitleDeleted val="0"/>
    <c:plotArea>
      <c:lineChart>
        <c:grouping val="standard"/>
        <c:varyColors val="0"/>
        <c:ser>
          <c:idx val="0"/>
          <c:order val="0"/>
          <c:tx>
            <c:strRef>
              <c:f>'Layer 3 - Macro'!$B$8</c:f>
              <c:strCache>
                <c:ptCount val="1"/>
                <c:pt idx="0">
                  <c:v>Real Consumer Spending (PCE)</c:v>
                </c:pt>
              </c:strCache>
            </c:strRef>
          </c:tx>
          <c:spPr>
            <a:solidFill>
              <a:srgbClr val="426fa6"/>
            </a:solidFill>
            <a:ln w="28440">
              <a:solidFill>
                <a:srgbClr val="426fa6"/>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3 - Macro'!$D$7:$L$7</c:f>
              <c:strCache>
                <c:ptCount val="9"/>
                <c:pt idx="0">
                  <c:v>2018</c:v>
                </c:pt>
                <c:pt idx="1">
                  <c:v>2019</c:v>
                </c:pt>
                <c:pt idx="2">
                  <c:v>2020</c:v>
                </c:pt>
                <c:pt idx="3">
                  <c:v>2021</c:v>
                </c:pt>
                <c:pt idx="4">
                  <c:v>2022</c:v>
                </c:pt>
                <c:pt idx="5">
                  <c:v>2023</c:v>
                </c:pt>
                <c:pt idx="6">
                  <c:v>2024</c:v>
                </c:pt>
                <c:pt idx="7">
                  <c:v>2025</c:v>
                </c:pt>
                <c:pt idx="8">
                  <c:v>2026</c:v>
                </c:pt>
              </c:strCache>
            </c:strRef>
          </c:cat>
          <c:val>
            <c:numRef>
              <c:f>'Layer 3 - Macro'!$D$8:$L$8</c:f>
              <c:numCache>
                <c:formatCode>General</c:formatCode>
                <c:ptCount val="9"/>
              </c:numCache>
            </c:numRef>
          </c:val>
          <c:smooth val="0"/>
        </c:ser>
        <c:ser>
          <c:idx val="1"/>
          <c:order val="1"/>
          <c:tx>
            <c:strRef>
              <c:f>'Layer 3 - Macro'!$B$9</c:f>
              <c:strCache>
                <c:ptCount val="1"/>
                <c:pt idx="0">
                  <c:v>Unemployment Rate</c:v>
                </c:pt>
              </c:strCache>
            </c:strRef>
          </c:tx>
          <c:spPr>
            <a:solidFill>
              <a:srgbClr val="aa433f"/>
            </a:solidFill>
            <a:ln w="28440">
              <a:solidFill>
                <a:srgbClr val="aa433f"/>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3 - Macro'!$D$7:$L$7</c:f>
              <c:strCache>
                <c:ptCount val="9"/>
                <c:pt idx="0">
                  <c:v>2018</c:v>
                </c:pt>
                <c:pt idx="1">
                  <c:v>2019</c:v>
                </c:pt>
                <c:pt idx="2">
                  <c:v>2020</c:v>
                </c:pt>
                <c:pt idx="3">
                  <c:v>2021</c:v>
                </c:pt>
                <c:pt idx="4">
                  <c:v>2022</c:v>
                </c:pt>
                <c:pt idx="5">
                  <c:v>2023</c:v>
                </c:pt>
                <c:pt idx="6">
                  <c:v>2024</c:v>
                </c:pt>
                <c:pt idx="7">
                  <c:v>2025</c:v>
                </c:pt>
                <c:pt idx="8">
                  <c:v>2026</c:v>
                </c:pt>
              </c:strCache>
            </c:strRef>
          </c:cat>
          <c:val>
            <c:numRef>
              <c:f>'Layer 3 - Macro'!$D$9:$L$9</c:f>
              <c:numCache>
                <c:formatCode>General</c:formatCode>
                <c:ptCount val="9"/>
              </c:numCache>
            </c:numRef>
          </c:val>
          <c:smooth val="0"/>
        </c:ser>
        <c:ser>
          <c:idx val="2"/>
          <c:order val="2"/>
          <c:tx>
            <c:strRef>
              <c:f>'Layer 3 - Macro'!$B$10</c:f>
              <c:strCache>
                <c:ptCount val="1"/>
                <c:pt idx="0">
                  <c:v>Wage Growth</c:v>
                </c:pt>
              </c:strCache>
            </c:strRef>
          </c:tx>
          <c:spPr>
            <a:solidFill>
              <a:srgbClr val="87a44b"/>
            </a:solidFill>
            <a:ln w="28440">
              <a:solidFill>
                <a:srgbClr val="87a44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3 - Macro'!$D$7:$L$7</c:f>
              <c:strCache>
                <c:ptCount val="9"/>
                <c:pt idx="0">
                  <c:v>2018</c:v>
                </c:pt>
                <c:pt idx="1">
                  <c:v>2019</c:v>
                </c:pt>
                <c:pt idx="2">
                  <c:v>2020</c:v>
                </c:pt>
                <c:pt idx="3">
                  <c:v>2021</c:v>
                </c:pt>
                <c:pt idx="4">
                  <c:v>2022</c:v>
                </c:pt>
                <c:pt idx="5">
                  <c:v>2023</c:v>
                </c:pt>
                <c:pt idx="6">
                  <c:v>2024</c:v>
                </c:pt>
                <c:pt idx="7">
                  <c:v>2025</c:v>
                </c:pt>
                <c:pt idx="8">
                  <c:v>2026</c:v>
                </c:pt>
              </c:strCache>
            </c:strRef>
          </c:cat>
          <c:val>
            <c:numRef>
              <c:f>'Layer 3 - Macro'!$D$10:$L$10</c:f>
              <c:numCache>
                <c:formatCode>General</c:formatCode>
                <c:ptCount val="9"/>
              </c:numCache>
            </c:numRef>
          </c:val>
          <c:smooth val="0"/>
        </c:ser>
        <c:ser>
          <c:idx val="3"/>
          <c:order val="3"/>
          <c:tx>
            <c:strRef>
              <c:f>'Layer 3 - Macro'!$B$11</c:f>
              <c:strCache>
                <c:ptCount val="1"/>
                <c:pt idx="0">
                  <c:v>Consumer Confidence Index</c:v>
                </c:pt>
              </c:strCache>
            </c:strRef>
          </c:tx>
          <c:spPr>
            <a:solidFill>
              <a:srgbClr val="6f568d"/>
            </a:solidFill>
            <a:ln w="28440">
              <a:solidFill>
                <a:srgbClr val="6f568d"/>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3 - Macro'!$D$7:$L$7</c:f>
              <c:strCache>
                <c:ptCount val="9"/>
                <c:pt idx="0">
                  <c:v>2018</c:v>
                </c:pt>
                <c:pt idx="1">
                  <c:v>2019</c:v>
                </c:pt>
                <c:pt idx="2">
                  <c:v>2020</c:v>
                </c:pt>
                <c:pt idx="3">
                  <c:v>2021</c:v>
                </c:pt>
                <c:pt idx="4">
                  <c:v>2022</c:v>
                </c:pt>
                <c:pt idx="5">
                  <c:v>2023</c:v>
                </c:pt>
                <c:pt idx="6">
                  <c:v>2024</c:v>
                </c:pt>
                <c:pt idx="7">
                  <c:v>2025</c:v>
                </c:pt>
                <c:pt idx="8">
                  <c:v>2026</c:v>
                </c:pt>
              </c:strCache>
            </c:strRef>
          </c:cat>
          <c:val>
            <c:numRef>
              <c:f>'Layer 3 - Macro'!$D$11:$L$11</c:f>
              <c:numCache>
                <c:formatCode>General</c:formatCode>
                <c:ptCount val="9"/>
              </c:numCache>
            </c:numRef>
          </c:val>
          <c:smooth val="0"/>
        </c:ser>
        <c:ser>
          <c:idx val="4"/>
          <c:order val="4"/>
          <c:tx>
            <c:strRef>
              <c:f>'Layer 3 - Macro'!$B$12</c:f>
              <c:strCache>
                <c:ptCount val="1"/>
                <c:pt idx="0">
                  <c:v>GDP (Gross Domestic Product)</c:v>
                </c:pt>
              </c:strCache>
            </c:strRef>
          </c:tx>
          <c:spPr>
            <a:solidFill>
              <a:srgbClr val="3d97af"/>
            </a:solidFill>
            <a:ln w="28440">
              <a:solidFill>
                <a:srgbClr val="3d97af"/>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3 - Macro'!$D$7:$L$7</c:f>
              <c:strCache>
                <c:ptCount val="9"/>
                <c:pt idx="0">
                  <c:v>2018</c:v>
                </c:pt>
                <c:pt idx="1">
                  <c:v>2019</c:v>
                </c:pt>
                <c:pt idx="2">
                  <c:v>2020</c:v>
                </c:pt>
                <c:pt idx="3">
                  <c:v>2021</c:v>
                </c:pt>
                <c:pt idx="4">
                  <c:v>2022</c:v>
                </c:pt>
                <c:pt idx="5">
                  <c:v>2023</c:v>
                </c:pt>
                <c:pt idx="6">
                  <c:v>2024</c:v>
                </c:pt>
                <c:pt idx="7">
                  <c:v>2025</c:v>
                </c:pt>
                <c:pt idx="8">
                  <c:v>2026</c:v>
                </c:pt>
              </c:strCache>
            </c:strRef>
          </c:cat>
          <c:val>
            <c:numRef>
              <c:f>'Layer 3 - Macro'!$D$12:$L$12</c:f>
              <c:numCache>
                <c:formatCode>General</c:formatCode>
                <c:ptCount val="9"/>
              </c:numCache>
            </c:numRef>
          </c:val>
          <c:smooth val="0"/>
        </c:ser>
        <c:ser>
          <c:idx val="5"/>
          <c:order val="5"/>
          <c:tx>
            <c:strRef>
              <c:f>'Layer 3 - Macro'!$B$13</c:f>
              <c:strCache>
                <c:ptCount val="1"/>
                <c:pt idx="0">
                  <c:v>Stock Market</c:v>
                </c:pt>
              </c:strCache>
            </c:strRef>
          </c:tx>
          <c:spPr>
            <a:solidFill>
              <a:srgbClr val="db8238"/>
            </a:solidFill>
            <a:ln w="28440">
              <a:solidFill>
                <a:srgbClr val="db823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3 - Macro'!$D$7:$L$7</c:f>
              <c:strCache>
                <c:ptCount val="9"/>
                <c:pt idx="0">
                  <c:v>2018</c:v>
                </c:pt>
                <c:pt idx="1">
                  <c:v>2019</c:v>
                </c:pt>
                <c:pt idx="2">
                  <c:v>2020</c:v>
                </c:pt>
                <c:pt idx="3">
                  <c:v>2021</c:v>
                </c:pt>
                <c:pt idx="4">
                  <c:v>2022</c:v>
                </c:pt>
                <c:pt idx="5">
                  <c:v>2023</c:v>
                </c:pt>
                <c:pt idx="6">
                  <c:v>2024</c:v>
                </c:pt>
                <c:pt idx="7">
                  <c:v>2025</c:v>
                </c:pt>
                <c:pt idx="8">
                  <c:v>2026</c:v>
                </c:pt>
              </c:strCache>
            </c:strRef>
          </c:cat>
          <c:val>
            <c:numRef>
              <c:f>'Layer 3 - Macro'!$D$13:$L$13</c:f>
              <c:numCache>
                <c:formatCode>General</c:formatCode>
                <c:ptCount val="9"/>
              </c:numCache>
            </c:numRef>
          </c:val>
          <c:smooth val="0"/>
        </c:ser>
        <c:ser>
          <c:idx val="6"/>
          <c:order val="6"/>
          <c:tx>
            <c:strRef>
              <c:f>'Layer 3 - Macro'!$B$14</c:f>
              <c:strCache>
                <c:ptCount val="1"/>
                <c:pt idx="0">
                  <c:v>Inflation (CPI)</c:v>
                </c:pt>
              </c:strCache>
            </c:strRef>
          </c:tx>
          <c:spPr>
            <a:solidFill>
              <a:srgbClr val="8ea5ca"/>
            </a:solidFill>
            <a:ln w="28440">
              <a:solidFill>
                <a:srgbClr val="8ea5ca"/>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3 - Macro'!$D$7:$L$7</c:f>
              <c:strCache>
                <c:ptCount val="9"/>
                <c:pt idx="0">
                  <c:v>2018</c:v>
                </c:pt>
                <c:pt idx="1">
                  <c:v>2019</c:v>
                </c:pt>
                <c:pt idx="2">
                  <c:v>2020</c:v>
                </c:pt>
                <c:pt idx="3">
                  <c:v>2021</c:v>
                </c:pt>
                <c:pt idx="4">
                  <c:v>2022</c:v>
                </c:pt>
                <c:pt idx="5">
                  <c:v>2023</c:v>
                </c:pt>
                <c:pt idx="6">
                  <c:v>2024</c:v>
                </c:pt>
                <c:pt idx="7">
                  <c:v>2025</c:v>
                </c:pt>
                <c:pt idx="8">
                  <c:v>2026</c:v>
                </c:pt>
              </c:strCache>
            </c:strRef>
          </c:cat>
          <c:val>
            <c:numRef>
              <c:f>'Layer 3 - Macro'!$D$14:$L$14</c:f>
              <c:numCache>
                <c:formatCode>General</c:formatCode>
                <c:ptCount val="9"/>
              </c:numCache>
            </c:numRef>
          </c:val>
          <c:smooth val="0"/>
        </c:ser>
        <c:ser>
          <c:idx val="7"/>
          <c:order val="7"/>
          <c:tx>
            <c:strRef>
              <c:f>'Layer 3 - Macro'!$B$15</c:f>
              <c:strCache>
                <c:ptCount val="1"/>
                <c:pt idx="0">
                  <c:v>Interest Rates (Fed Funds)</c:v>
                </c:pt>
              </c:strCache>
            </c:strRef>
          </c:tx>
          <c:spPr>
            <a:solidFill>
              <a:srgbClr val="cc8f8e"/>
            </a:solidFill>
            <a:ln w="28440">
              <a:solidFill>
                <a:srgbClr val="cc8f8e"/>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3 - Macro'!$D$7:$L$7</c:f>
              <c:strCache>
                <c:ptCount val="9"/>
                <c:pt idx="0">
                  <c:v>2018</c:v>
                </c:pt>
                <c:pt idx="1">
                  <c:v>2019</c:v>
                </c:pt>
                <c:pt idx="2">
                  <c:v>2020</c:v>
                </c:pt>
                <c:pt idx="3">
                  <c:v>2021</c:v>
                </c:pt>
                <c:pt idx="4">
                  <c:v>2022</c:v>
                </c:pt>
                <c:pt idx="5">
                  <c:v>2023</c:v>
                </c:pt>
                <c:pt idx="6">
                  <c:v>2024</c:v>
                </c:pt>
                <c:pt idx="7">
                  <c:v>2025</c:v>
                </c:pt>
                <c:pt idx="8">
                  <c:v>2026</c:v>
                </c:pt>
              </c:strCache>
            </c:strRef>
          </c:cat>
          <c:val>
            <c:numRef>
              <c:f>'Layer 3 - Macro'!$D$15:$L$15</c:f>
              <c:numCache>
                <c:formatCode>General</c:formatCode>
                <c:ptCount val="9"/>
              </c:numCache>
            </c:numRef>
          </c:val>
          <c:smooth val="0"/>
        </c:ser>
        <c:ser>
          <c:idx val="8"/>
          <c:order val="8"/>
          <c:tx>
            <c:strRef>
              <c:f>'Layer 3 - Macro'!$B$16</c:f>
              <c:strCache>
                <c:ptCount val="1"/>
                <c:pt idx="0">
                  <c:v>Behavioral Signals</c:v>
                </c:pt>
              </c:strCache>
            </c:strRef>
          </c:tx>
          <c:spPr>
            <a:solidFill>
              <a:srgbClr val="b3c992"/>
            </a:solidFill>
            <a:ln w="28440">
              <a:solidFill>
                <a:srgbClr val="b3c992"/>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3 - Macro'!$D$7:$L$7</c:f>
              <c:strCache>
                <c:ptCount val="9"/>
                <c:pt idx="0">
                  <c:v>2018</c:v>
                </c:pt>
                <c:pt idx="1">
                  <c:v>2019</c:v>
                </c:pt>
                <c:pt idx="2">
                  <c:v>2020</c:v>
                </c:pt>
                <c:pt idx="3">
                  <c:v>2021</c:v>
                </c:pt>
                <c:pt idx="4">
                  <c:v>2022</c:v>
                </c:pt>
                <c:pt idx="5">
                  <c:v>2023</c:v>
                </c:pt>
                <c:pt idx="6">
                  <c:v>2024</c:v>
                </c:pt>
                <c:pt idx="7">
                  <c:v>2025</c:v>
                </c:pt>
                <c:pt idx="8">
                  <c:v>2026</c:v>
                </c:pt>
              </c:strCache>
            </c:strRef>
          </c:cat>
          <c:val>
            <c:numRef>
              <c:f>'Layer 3 - Macro'!$D$16:$L$16</c:f>
              <c:numCache>
                <c:formatCode>General</c:formatCode>
                <c:ptCount val="9"/>
              </c:numCache>
            </c:numRef>
          </c:val>
          <c:smooth val="0"/>
        </c:ser>
        <c:ser>
          <c:idx val="9"/>
          <c:order val="9"/>
          <c:tx>
            <c:strRef>
              <c:f>'Layer 3 - Macro'!$B$17</c:f>
              <c:strCache>
                <c:ptCount val="1"/>
                <c:pt idx="0">
                  <c:v>Flow of Funds</c:v>
                </c:pt>
              </c:strCache>
            </c:strRef>
          </c:tx>
          <c:spPr>
            <a:solidFill>
              <a:srgbClr val="a596b9"/>
            </a:solidFill>
            <a:ln w="28440">
              <a:solidFill>
                <a:srgbClr val="a596b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3 - Macro'!$D$7:$L$7</c:f>
              <c:strCache>
                <c:ptCount val="9"/>
                <c:pt idx="0">
                  <c:v>2018</c:v>
                </c:pt>
                <c:pt idx="1">
                  <c:v>2019</c:v>
                </c:pt>
                <c:pt idx="2">
                  <c:v>2020</c:v>
                </c:pt>
                <c:pt idx="3">
                  <c:v>2021</c:v>
                </c:pt>
                <c:pt idx="4">
                  <c:v>2022</c:v>
                </c:pt>
                <c:pt idx="5">
                  <c:v>2023</c:v>
                </c:pt>
                <c:pt idx="6">
                  <c:v>2024</c:v>
                </c:pt>
                <c:pt idx="7">
                  <c:v>2025</c:v>
                </c:pt>
                <c:pt idx="8">
                  <c:v>2026</c:v>
                </c:pt>
              </c:strCache>
            </c:strRef>
          </c:cat>
          <c:val>
            <c:numRef>
              <c:f>'Layer 3 - Macro'!$D$17:$L$17</c:f>
              <c:numCache>
                <c:formatCode>General</c:formatCode>
                <c:ptCount val="9"/>
              </c:numCache>
            </c:numRef>
          </c:val>
          <c:smooth val="0"/>
        </c:ser>
        <c:ser>
          <c:idx val="10"/>
          <c:order val="10"/>
          <c:tx>
            <c:strRef>
              <c:f>'Layer 3 - Macro'!$B$18</c:f>
              <c:strCache>
                <c:ptCount val="1"/>
                <c:pt idx="0">
                  <c:v>Yield Curve (10yr - 2yr)</c:v>
                </c:pt>
              </c:strCache>
            </c:strRef>
          </c:tx>
          <c:spPr>
            <a:solidFill>
              <a:srgbClr val="8cbfd2"/>
            </a:solidFill>
            <a:ln w="28440">
              <a:solidFill>
                <a:srgbClr val="8cbfd2"/>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3 - Macro'!$D$7:$L$7</c:f>
              <c:strCache>
                <c:ptCount val="9"/>
                <c:pt idx="0">
                  <c:v>2018</c:v>
                </c:pt>
                <c:pt idx="1">
                  <c:v>2019</c:v>
                </c:pt>
                <c:pt idx="2">
                  <c:v>2020</c:v>
                </c:pt>
                <c:pt idx="3">
                  <c:v>2021</c:v>
                </c:pt>
                <c:pt idx="4">
                  <c:v>2022</c:v>
                </c:pt>
                <c:pt idx="5">
                  <c:v>2023</c:v>
                </c:pt>
                <c:pt idx="6">
                  <c:v>2024</c:v>
                </c:pt>
                <c:pt idx="7">
                  <c:v>2025</c:v>
                </c:pt>
                <c:pt idx="8">
                  <c:v>2026</c:v>
                </c:pt>
              </c:strCache>
            </c:strRef>
          </c:cat>
          <c:val>
            <c:numRef>
              <c:f>'Layer 3 - Macro'!$D$18:$L$18</c:f>
              <c:numCache>
                <c:formatCode>General</c:formatCode>
                <c:ptCount val="9"/>
              </c:numCache>
            </c:numRef>
          </c:val>
          <c:smooth val="0"/>
        </c:ser>
        <c:ser>
          <c:idx val="11"/>
          <c:order val="11"/>
          <c:tx>
            <c:strRef>
              <c:f>'Layer 3 - Macro'!$B$19</c:f>
              <c:strCache>
                <c:ptCount val="1"/>
                <c:pt idx="0">
                  <c:v>Foreclosures</c:v>
                </c:pt>
              </c:strCache>
            </c:strRef>
          </c:tx>
          <c:spPr>
            <a:solidFill>
              <a:srgbClr val="f5b089"/>
            </a:solidFill>
            <a:ln w="28440">
              <a:solidFill>
                <a:srgbClr val="f5b08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3 - Macro'!$D$7:$L$7</c:f>
              <c:strCache>
                <c:ptCount val="9"/>
                <c:pt idx="0">
                  <c:v>2018</c:v>
                </c:pt>
                <c:pt idx="1">
                  <c:v>2019</c:v>
                </c:pt>
                <c:pt idx="2">
                  <c:v>2020</c:v>
                </c:pt>
                <c:pt idx="3">
                  <c:v>2021</c:v>
                </c:pt>
                <c:pt idx="4">
                  <c:v>2022</c:v>
                </c:pt>
                <c:pt idx="5">
                  <c:v>2023</c:v>
                </c:pt>
                <c:pt idx="6">
                  <c:v>2024</c:v>
                </c:pt>
                <c:pt idx="7">
                  <c:v>2025</c:v>
                </c:pt>
                <c:pt idx="8">
                  <c:v>2026</c:v>
                </c:pt>
              </c:strCache>
            </c:strRef>
          </c:cat>
          <c:val>
            <c:numRef>
              <c:f>'Layer 3 - Macro'!$D$19:$L$19</c:f>
              <c:numCache>
                <c:formatCode>General</c:formatCode>
                <c:ptCount val="9"/>
              </c:numCache>
            </c:numRef>
          </c:val>
          <c:smooth val="0"/>
        </c:ser>
        <c:hiLowLines>
          <c:spPr>
            <a:ln w="0">
              <a:noFill/>
            </a:ln>
          </c:spPr>
        </c:hiLowLines>
        <c:marker val="0"/>
        <c:axId val="95455772"/>
        <c:axId val="85695412"/>
      </c:lineChart>
      <c:catAx>
        <c:axId val="9545577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695412"/>
        <c:crosses val="autoZero"/>
        <c:auto val="1"/>
        <c:lblAlgn val="ctr"/>
        <c:lblOffset val="100"/>
        <c:noMultiLvlLbl val="0"/>
      </c:catAx>
      <c:valAx>
        <c:axId val="8569541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Value (as entered)</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45577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Layer 2 — Industry Signals Over Time</a:t>
            </a:r>
          </a:p>
        </c:rich>
      </c:tx>
      <c:overlay val="0"/>
      <c:spPr>
        <a:noFill/>
        <a:ln w="0">
          <a:noFill/>
        </a:ln>
      </c:spPr>
    </c:title>
    <c:autoTitleDeleted val="0"/>
    <c:plotArea>
      <c:lineChart>
        <c:grouping val="standard"/>
        <c:varyColors val="0"/>
        <c:ser>
          <c:idx val="0"/>
          <c:order val="0"/>
          <c:tx>
            <c:strRef>
              <c:f>'Layer 2 - Industry'!$B$8</c:f>
              <c:strCache>
                <c:ptCount val="1"/>
                <c:pt idx="0">
                  <c:v>Construction Start Trends</c:v>
                </c:pt>
              </c:strCache>
            </c:strRef>
          </c:tx>
          <c:spPr>
            <a:solidFill>
              <a:srgbClr val="426fa6"/>
            </a:solidFill>
            <a:ln w="28440">
              <a:solidFill>
                <a:srgbClr val="426fa6"/>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2 - Industry'!$D$7:$L$7</c:f>
              <c:strCache>
                <c:ptCount val="9"/>
                <c:pt idx="0">
                  <c:v>2018</c:v>
                </c:pt>
                <c:pt idx="1">
                  <c:v>2019</c:v>
                </c:pt>
                <c:pt idx="2">
                  <c:v>2020</c:v>
                </c:pt>
                <c:pt idx="3">
                  <c:v>2021</c:v>
                </c:pt>
                <c:pt idx="4">
                  <c:v>2022</c:v>
                </c:pt>
                <c:pt idx="5">
                  <c:v>2023</c:v>
                </c:pt>
                <c:pt idx="6">
                  <c:v>2024</c:v>
                </c:pt>
                <c:pt idx="7">
                  <c:v>2025</c:v>
                </c:pt>
                <c:pt idx="8">
                  <c:v>2026</c:v>
                </c:pt>
              </c:strCache>
            </c:strRef>
          </c:cat>
          <c:val>
            <c:numRef>
              <c:f>'Layer 2 - Industry'!$D$8:$L$8</c:f>
              <c:numCache>
                <c:formatCode>General</c:formatCode>
                <c:ptCount val="9"/>
              </c:numCache>
            </c:numRef>
          </c:val>
          <c:smooth val="0"/>
        </c:ser>
        <c:ser>
          <c:idx val="1"/>
          <c:order val="1"/>
          <c:tx>
            <c:strRef>
              <c:f>'Layer 2 - Industry'!$B$9</c:f>
              <c:strCache>
                <c:ptCount val="1"/>
                <c:pt idx="0">
                  <c:v>Permit Velocity (national)</c:v>
                </c:pt>
              </c:strCache>
            </c:strRef>
          </c:tx>
          <c:spPr>
            <a:solidFill>
              <a:srgbClr val="aa433f"/>
            </a:solidFill>
            <a:ln w="28440">
              <a:solidFill>
                <a:srgbClr val="aa433f"/>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2 - Industry'!$D$7:$L$7</c:f>
              <c:strCache>
                <c:ptCount val="9"/>
                <c:pt idx="0">
                  <c:v>2018</c:v>
                </c:pt>
                <c:pt idx="1">
                  <c:v>2019</c:v>
                </c:pt>
                <c:pt idx="2">
                  <c:v>2020</c:v>
                </c:pt>
                <c:pt idx="3">
                  <c:v>2021</c:v>
                </c:pt>
                <c:pt idx="4">
                  <c:v>2022</c:v>
                </c:pt>
                <c:pt idx="5">
                  <c:v>2023</c:v>
                </c:pt>
                <c:pt idx="6">
                  <c:v>2024</c:v>
                </c:pt>
                <c:pt idx="7">
                  <c:v>2025</c:v>
                </c:pt>
                <c:pt idx="8">
                  <c:v>2026</c:v>
                </c:pt>
              </c:strCache>
            </c:strRef>
          </c:cat>
          <c:val>
            <c:numRef>
              <c:f>'Layer 2 - Industry'!$D$9:$L$9</c:f>
              <c:numCache>
                <c:formatCode>General</c:formatCode>
                <c:ptCount val="9"/>
              </c:numCache>
            </c:numRef>
          </c:val>
          <c:smooth val="0"/>
        </c:ser>
        <c:ser>
          <c:idx val="2"/>
          <c:order val="2"/>
          <c:tx>
            <c:strRef>
              <c:f>'Layer 2 - Industry'!$B$10</c:f>
              <c:strCache>
                <c:ptCount val="1"/>
                <c:pt idx="0">
                  <c:v>Absorption vs. Delivery Rate</c:v>
                </c:pt>
              </c:strCache>
            </c:strRef>
          </c:tx>
          <c:spPr>
            <a:solidFill>
              <a:srgbClr val="87a44b"/>
            </a:solidFill>
            <a:ln w="28440">
              <a:solidFill>
                <a:srgbClr val="87a44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2 - Industry'!$D$7:$L$7</c:f>
              <c:strCache>
                <c:ptCount val="9"/>
                <c:pt idx="0">
                  <c:v>2018</c:v>
                </c:pt>
                <c:pt idx="1">
                  <c:v>2019</c:v>
                </c:pt>
                <c:pt idx="2">
                  <c:v>2020</c:v>
                </c:pt>
                <c:pt idx="3">
                  <c:v>2021</c:v>
                </c:pt>
                <c:pt idx="4">
                  <c:v>2022</c:v>
                </c:pt>
                <c:pt idx="5">
                  <c:v>2023</c:v>
                </c:pt>
                <c:pt idx="6">
                  <c:v>2024</c:v>
                </c:pt>
                <c:pt idx="7">
                  <c:v>2025</c:v>
                </c:pt>
                <c:pt idx="8">
                  <c:v>2026</c:v>
                </c:pt>
              </c:strCache>
            </c:strRef>
          </c:cat>
          <c:val>
            <c:numRef>
              <c:f>'Layer 2 - Industry'!$D$10:$L$10</c:f>
              <c:numCache>
                <c:formatCode>General</c:formatCode>
                <c:ptCount val="9"/>
              </c:numCache>
            </c:numRef>
          </c:val>
          <c:smooth val="0"/>
        </c:ser>
        <c:ser>
          <c:idx val="3"/>
          <c:order val="3"/>
          <c:tx>
            <c:strRef>
              <c:f>'Layer 2 - Industry'!$B$11</c:f>
              <c:strCache>
                <c:ptCount val="1"/>
                <c:pt idx="0">
                  <c:v>Concession Activity (national)</c:v>
                </c:pt>
              </c:strCache>
            </c:strRef>
          </c:tx>
          <c:spPr>
            <a:solidFill>
              <a:srgbClr val="6f568d"/>
            </a:solidFill>
            <a:ln w="28440">
              <a:solidFill>
                <a:srgbClr val="6f568d"/>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2 - Industry'!$D$7:$L$7</c:f>
              <c:strCache>
                <c:ptCount val="9"/>
                <c:pt idx="0">
                  <c:v>2018</c:v>
                </c:pt>
                <c:pt idx="1">
                  <c:v>2019</c:v>
                </c:pt>
                <c:pt idx="2">
                  <c:v>2020</c:v>
                </c:pt>
                <c:pt idx="3">
                  <c:v>2021</c:v>
                </c:pt>
                <c:pt idx="4">
                  <c:v>2022</c:v>
                </c:pt>
                <c:pt idx="5">
                  <c:v>2023</c:v>
                </c:pt>
                <c:pt idx="6">
                  <c:v>2024</c:v>
                </c:pt>
                <c:pt idx="7">
                  <c:v>2025</c:v>
                </c:pt>
                <c:pt idx="8">
                  <c:v>2026</c:v>
                </c:pt>
              </c:strCache>
            </c:strRef>
          </c:cat>
          <c:val>
            <c:numRef>
              <c:f>'Layer 2 - Industry'!$D$11:$L$11</c:f>
              <c:numCache>
                <c:formatCode>General</c:formatCode>
                <c:ptCount val="9"/>
              </c:numCache>
            </c:numRef>
          </c:val>
          <c:smooth val="0"/>
        </c:ser>
        <c:ser>
          <c:idx val="4"/>
          <c:order val="4"/>
          <c:tx>
            <c:strRef>
              <c:f>'Layer 2 - Industry'!$B$12</c:f>
              <c:strCache>
                <c:ptCount val="1"/>
                <c:pt idx="0">
                  <c:v>Capital Markets Sentiment</c:v>
                </c:pt>
              </c:strCache>
            </c:strRef>
          </c:tx>
          <c:spPr>
            <a:solidFill>
              <a:srgbClr val="3d97af"/>
            </a:solidFill>
            <a:ln w="28440">
              <a:solidFill>
                <a:srgbClr val="3d97af"/>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2 - Industry'!$D$7:$L$7</c:f>
              <c:strCache>
                <c:ptCount val="9"/>
                <c:pt idx="0">
                  <c:v>2018</c:v>
                </c:pt>
                <c:pt idx="1">
                  <c:v>2019</c:v>
                </c:pt>
                <c:pt idx="2">
                  <c:v>2020</c:v>
                </c:pt>
                <c:pt idx="3">
                  <c:v>2021</c:v>
                </c:pt>
                <c:pt idx="4">
                  <c:v>2022</c:v>
                </c:pt>
                <c:pt idx="5">
                  <c:v>2023</c:v>
                </c:pt>
                <c:pt idx="6">
                  <c:v>2024</c:v>
                </c:pt>
                <c:pt idx="7">
                  <c:v>2025</c:v>
                </c:pt>
                <c:pt idx="8">
                  <c:v>2026</c:v>
                </c:pt>
              </c:strCache>
            </c:strRef>
          </c:cat>
          <c:val>
            <c:numRef>
              <c:f>'Layer 2 - Industry'!$D$12:$L$12</c:f>
              <c:numCache>
                <c:formatCode>General</c:formatCode>
                <c:ptCount val="9"/>
              </c:numCache>
            </c:numRef>
          </c:val>
          <c:smooth val="0"/>
        </c:ser>
        <c:ser>
          <c:idx val="5"/>
          <c:order val="5"/>
          <c:tx>
            <c:strRef>
              <c:f>'Layer 2 - Industry'!$B$13</c:f>
              <c:strCache>
                <c:ptCount val="1"/>
                <c:pt idx="0">
                  <c:v>National Vacancy Rate</c:v>
                </c:pt>
              </c:strCache>
            </c:strRef>
          </c:tx>
          <c:spPr>
            <a:solidFill>
              <a:srgbClr val="db8238"/>
            </a:solidFill>
            <a:ln w="28440">
              <a:solidFill>
                <a:srgbClr val="db823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2 - Industry'!$D$7:$L$7</c:f>
              <c:strCache>
                <c:ptCount val="9"/>
                <c:pt idx="0">
                  <c:v>2018</c:v>
                </c:pt>
                <c:pt idx="1">
                  <c:v>2019</c:v>
                </c:pt>
                <c:pt idx="2">
                  <c:v>2020</c:v>
                </c:pt>
                <c:pt idx="3">
                  <c:v>2021</c:v>
                </c:pt>
                <c:pt idx="4">
                  <c:v>2022</c:v>
                </c:pt>
                <c:pt idx="5">
                  <c:v>2023</c:v>
                </c:pt>
                <c:pt idx="6">
                  <c:v>2024</c:v>
                </c:pt>
                <c:pt idx="7">
                  <c:v>2025</c:v>
                </c:pt>
                <c:pt idx="8">
                  <c:v>2026</c:v>
                </c:pt>
              </c:strCache>
            </c:strRef>
          </c:cat>
          <c:val>
            <c:numRef>
              <c:f>'Layer 2 - Industry'!$D$13:$L$13</c:f>
              <c:numCache>
                <c:formatCode>General</c:formatCode>
                <c:ptCount val="9"/>
              </c:numCache>
            </c:numRef>
          </c:val>
          <c:smooth val="0"/>
        </c:ser>
        <c:ser>
          <c:idx val="6"/>
          <c:order val="6"/>
          <c:tx>
            <c:strRef>
              <c:f>'Layer 2 - Industry'!$B$14</c:f>
              <c:strCache>
                <c:ptCount val="1"/>
                <c:pt idx="0">
                  <c:v>National Rent Growth</c:v>
                </c:pt>
              </c:strCache>
            </c:strRef>
          </c:tx>
          <c:spPr>
            <a:solidFill>
              <a:srgbClr val="8ea5ca"/>
            </a:solidFill>
            <a:ln w="28440">
              <a:solidFill>
                <a:srgbClr val="8ea5ca"/>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2 - Industry'!$D$7:$L$7</c:f>
              <c:strCache>
                <c:ptCount val="9"/>
                <c:pt idx="0">
                  <c:v>2018</c:v>
                </c:pt>
                <c:pt idx="1">
                  <c:v>2019</c:v>
                </c:pt>
                <c:pt idx="2">
                  <c:v>2020</c:v>
                </c:pt>
                <c:pt idx="3">
                  <c:v>2021</c:v>
                </c:pt>
                <c:pt idx="4">
                  <c:v>2022</c:v>
                </c:pt>
                <c:pt idx="5">
                  <c:v>2023</c:v>
                </c:pt>
                <c:pt idx="6">
                  <c:v>2024</c:v>
                </c:pt>
                <c:pt idx="7">
                  <c:v>2025</c:v>
                </c:pt>
                <c:pt idx="8">
                  <c:v>2026</c:v>
                </c:pt>
              </c:strCache>
            </c:strRef>
          </c:cat>
          <c:val>
            <c:numRef>
              <c:f>'Layer 2 - Industry'!$D$14:$L$14</c:f>
              <c:numCache>
                <c:formatCode>General</c:formatCode>
                <c:ptCount val="9"/>
              </c:numCache>
            </c:numRef>
          </c:val>
          <c:smooth val="0"/>
        </c:ser>
        <c:ser>
          <c:idx val="7"/>
          <c:order val="7"/>
          <c:tx>
            <c:strRef>
              <c:f>'Layer 2 - Industry'!$B$15</c:f>
              <c:strCache>
                <c:ptCount val="1"/>
                <c:pt idx="0">
                  <c:v>Transaction Volume</c:v>
                </c:pt>
              </c:strCache>
            </c:strRef>
          </c:tx>
          <c:spPr>
            <a:solidFill>
              <a:srgbClr val="cc8f8e"/>
            </a:solidFill>
            <a:ln w="28440">
              <a:solidFill>
                <a:srgbClr val="cc8f8e"/>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2 - Industry'!$D$7:$L$7</c:f>
              <c:strCache>
                <c:ptCount val="9"/>
                <c:pt idx="0">
                  <c:v>2018</c:v>
                </c:pt>
                <c:pt idx="1">
                  <c:v>2019</c:v>
                </c:pt>
                <c:pt idx="2">
                  <c:v>2020</c:v>
                </c:pt>
                <c:pt idx="3">
                  <c:v>2021</c:v>
                </c:pt>
                <c:pt idx="4">
                  <c:v>2022</c:v>
                </c:pt>
                <c:pt idx="5">
                  <c:v>2023</c:v>
                </c:pt>
                <c:pt idx="6">
                  <c:v>2024</c:v>
                </c:pt>
                <c:pt idx="7">
                  <c:v>2025</c:v>
                </c:pt>
                <c:pt idx="8">
                  <c:v>2026</c:v>
                </c:pt>
              </c:strCache>
            </c:strRef>
          </c:cat>
          <c:val>
            <c:numRef>
              <c:f>'Layer 2 - Industry'!$D$15:$L$15</c:f>
              <c:numCache>
                <c:formatCode>General</c:formatCode>
                <c:ptCount val="9"/>
              </c:numCache>
            </c:numRef>
          </c:val>
          <c:smooth val="0"/>
        </c:ser>
        <c:hiLowLines>
          <c:spPr>
            <a:ln w="0">
              <a:noFill/>
            </a:ln>
          </c:spPr>
        </c:hiLowLines>
        <c:marker val="0"/>
        <c:axId val="6067357"/>
        <c:axId val="36271039"/>
      </c:lineChart>
      <c:catAx>
        <c:axId val="606735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271039"/>
        <c:crosses val="autoZero"/>
        <c:auto val="1"/>
        <c:lblAlgn val="ctr"/>
        <c:lblOffset val="100"/>
        <c:noMultiLvlLbl val="0"/>
      </c:catAx>
      <c:valAx>
        <c:axId val="3627103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Value (as entered)</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6735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Layer 1 — Submarket Signals Over Time</a:t>
            </a:r>
          </a:p>
        </c:rich>
      </c:tx>
      <c:overlay val="0"/>
      <c:spPr>
        <a:noFill/>
        <a:ln w="0">
          <a:noFill/>
        </a:ln>
      </c:spPr>
    </c:title>
    <c:autoTitleDeleted val="0"/>
    <c:plotArea>
      <c:lineChart>
        <c:grouping val="standard"/>
        <c:varyColors val="0"/>
        <c:ser>
          <c:idx val="0"/>
          <c:order val="0"/>
          <c:tx>
            <c:strRef>
              <c:f>'Layer 1 - Submarket'!$B$8</c:f>
              <c:strCache>
                <c:ptCount val="1"/>
                <c:pt idx="0">
                  <c:v>Job Growth (local)</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1 - Submarket'!$D$7:$L$7</c:f>
              <c:strCache>
                <c:ptCount val="9"/>
                <c:pt idx="0">
                  <c:v>2018</c:v>
                </c:pt>
                <c:pt idx="1">
                  <c:v>2019</c:v>
                </c:pt>
                <c:pt idx="2">
                  <c:v>2020</c:v>
                </c:pt>
                <c:pt idx="3">
                  <c:v>2021</c:v>
                </c:pt>
                <c:pt idx="4">
                  <c:v>2022</c:v>
                </c:pt>
                <c:pt idx="5">
                  <c:v>2023</c:v>
                </c:pt>
                <c:pt idx="6">
                  <c:v>2024</c:v>
                </c:pt>
                <c:pt idx="7">
                  <c:v>2025</c:v>
                </c:pt>
                <c:pt idx="8">
                  <c:v>2026</c:v>
                </c:pt>
              </c:strCache>
            </c:strRef>
          </c:cat>
          <c:val>
            <c:numRef>
              <c:f>'Layer 1 - Submarket'!$D$8:$L$8</c:f>
              <c:numCache>
                <c:formatCode>General</c:formatCode>
                <c:ptCount val="9"/>
              </c:numCache>
            </c:numRef>
          </c:val>
          <c:smooth val="0"/>
        </c:ser>
        <c:ser>
          <c:idx val="1"/>
          <c:order val="1"/>
          <c:tx>
            <c:strRef>
              <c:f>'Layer 1 - Submarket'!$B$9</c:f>
              <c:strCache>
                <c:ptCount val="1"/>
                <c:pt idx="0">
                  <c:v>Population Trends (local)</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1 - Submarket'!$D$7:$L$7</c:f>
              <c:strCache>
                <c:ptCount val="9"/>
                <c:pt idx="0">
                  <c:v>2018</c:v>
                </c:pt>
                <c:pt idx="1">
                  <c:v>2019</c:v>
                </c:pt>
                <c:pt idx="2">
                  <c:v>2020</c:v>
                </c:pt>
                <c:pt idx="3">
                  <c:v>2021</c:v>
                </c:pt>
                <c:pt idx="4">
                  <c:v>2022</c:v>
                </c:pt>
                <c:pt idx="5">
                  <c:v>2023</c:v>
                </c:pt>
                <c:pt idx="6">
                  <c:v>2024</c:v>
                </c:pt>
                <c:pt idx="7">
                  <c:v>2025</c:v>
                </c:pt>
                <c:pt idx="8">
                  <c:v>2026</c:v>
                </c:pt>
              </c:strCache>
            </c:strRef>
          </c:cat>
          <c:val>
            <c:numRef>
              <c:f>'Layer 1 - Submarket'!$D$9:$L$9</c:f>
              <c:numCache>
                <c:formatCode>General</c:formatCode>
                <c:ptCount val="9"/>
              </c:numCache>
            </c:numRef>
          </c:val>
          <c:smooth val="0"/>
        </c:ser>
        <c:ser>
          <c:idx val="2"/>
          <c:order val="2"/>
          <c:tx>
            <c:strRef>
              <c:f>'Layer 1 - Submarket'!$B$10</c:f>
              <c:strCache>
                <c:ptCount val="1"/>
                <c:pt idx="0">
                  <c:v>Construction Pipeline (local)</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1 - Submarket'!$D$7:$L$7</c:f>
              <c:strCache>
                <c:ptCount val="9"/>
                <c:pt idx="0">
                  <c:v>2018</c:v>
                </c:pt>
                <c:pt idx="1">
                  <c:v>2019</c:v>
                </c:pt>
                <c:pt idx="2">
                  <c:v>2020</c:v>
                </c:pt>
                <c:pt idx="3">
                  <c:v>2021</c:v>
                </c:pt>
                <c:pt idx="4">
                  <c:v>2022</c:v>
                </c:pt>
                <c:pt idx="5">
                  <c:v>2023</c:v>
                </c:pt>
                <c:pt idx="6">
                  <c:v>2024</c:v>
                </c:pt>
                <c:pt idx="7">
                  <c:v>2025</c:v>
                </c:pt>
                <c:pt idx="8">
                  <c:v>2026</c:v>
                </c:pt>
              </c:strCache>
            </c:strRef>
          </c:cat>
          <c:val>
            <c:numRef>
              <c:f>'Layer 1 - Submarket'!$D$10:$L$10</c:f>
              <c:numCache>
                <c:formatCode>General</c:formatCode>
                <c:ptCount val="9"/>
              </c:numCache>
            </c:numRef>
          </c:val>
          <c:smooth val="0"/>
        </c:ser>
        <c:ser>
          <c:idx val="3"/>
          <c:order val="3"/>
          <c:tx>
            <c:strRef>
              <c:f>'Layer 1 - Submarket'!$B$11</c:f>
              <c:strCache>
                <c:ptCount val="1"/>
                <c:pt idx="0">
                  <c:v>Path of Progress (local)</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1 - Submarket'!$D$7:$L$7</c:f>
              <c:strCache>
                <c:ptCount val="9"/>
                <c:pt idx="0">
                  <c:v>2018</c:v>
                </c:pt>
                <c:pt idx="1">
                  <c:v>2019</c:v>
                </c:pt>
                <c:pt idx="2">
                  <c:v>2020</c:v>
                </c:pt>
                <c:pt idx="3">
                  <c:v>2021</c:v>
                </c:pt>
                <c:pt idx="4">
                  <c:v>2022</c:v>
                </c:pt>
                <c:pt idx="5">
                  <c:v>2023</c:v>
                </c:pt>
                <c:pt idx="6">
                  <c:v>2024</c:v>
                </c:pt>
                <c:pt idx="7">
                  <c:v>2025</c:v>
                </c:pt>
                <c:pt idx="8">
                  <c:v>2026</c:v>
                </c:pt>
              </c:strCache>
            </c:strRef>
          </c:cat>
          <c:val>
            <c:numRef>
              <c:f>'Layer 1 - Submarket'!$D$11:$L$11</c:f>
              <c:numCache>
                <c:formatCode>General</c:formatCode>
                <c:ptCount val="9"/>
              </c:numCache>
            </c:numRef>
          </c:val>
          <c:smooth val="0"/>
        </c:ser>
        <c:ser>
          <c:idx val="4"/>
          <c:order val="4"/>
          <c:tx>
            <c:strRef>
              <c:f>'Layer 1 - Submarket'!$B$12</c:f>
              <c:strCache>
                <c:ptCount val="1"/>
                <c:pt idx="0">
                  <c:v>Housing Supply / Days on Market</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'Layer 1 - Submarket'!$D$7:$L$7</c:f>
              <c:strCache>
                <c:ptCount val="9"/>
                <c:pt idx="0">
                  <c:v>2018</c:v>
                </c:pt>
                <c:pt idx="1">
                  <c:v>2019</c:v>
                </c:pt>
                <c:pt idx="2">
                  <c:v>2020</c:v>
                </c:pt>
                <c:pt idx="3">
                  <c:v>2021</c:v>
                </c:pt>
                <c:pt idx="4">
                  <c:v>2022</c:v>
                </c:pt>
                <c:pt idx="5">
                  <c:v>2023</c:v>
                </c:pt>
                <c:pt idx="6">
                  <c:v>2024</c:v>
                </c:pt>
                <c:pt idx="7">
                  <c:v>2025</c:v>
                </c:pt>
                <c:pt idx="8">
                  <c:v>2026</c:v>
                </c:pt>
              </c:strCache>
            </c:strRef>
          </c:cat>
          <c:val>
            <c:numRef>
              <c:f>'Layer 1 - Submarket'!$D$12:$L$12</c:f>
              <c:numCache>
                <c:formatCode>General</c:formatCode>
                <c:ptCount val="9"/>
              </c:numCache>
            </c:numRef>
          </c:val>
          <c:smooth val="0"/>
        </c:ser>
        <c:hiLowLines>
          <c:spPr>
            <a:ln w="0">
              <a:noFill/>
            </a:ln>
          </c:spPr>
        </c:hiLowLines>
        <c:marker val="0"/>
        <c:axId val="7645559"/>
        <c:axId val="8770179"/>
      </c:lineChart>
      <c:catAx>
        <c:axId val="764555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70179"/>
        <c:crosses val="autoZero"/>
        <c:auto val="1"/>
        <c:lblAlgn val="ctr"/>
        <c:lblOffset val="100"/>
        <c:noMultiLvlLbl val="0"/>
      </c:catAx>
      <c:valAx>
        <c:axId val="877017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Value (as entered)</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4555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Signal A vs. Signal B</a:t>
            </a:r>
          </a:p>
        </c:rich>
      </c:tx>
      <c:overlay val="0"/>
      <c:spPr>
        <a:noFill/>
        <a:ln w="0">
          <a:noFill/>
        </a:ln>
      </c:spPr>
    </c:title>
    <c:autoTitleDeleted val="0"/>
    <c:plotArea>
      <c:scatterChart>
        <c:scatterStyle val="lineMarker"/>
        <c:varyColors val="0"/>
        <c:ser>
          <c:idx val="0"/>
          <c:order val="0"/>
          <c:tx>
            <c:strRef>
              <c:f>"Signal A vs B"</c:f>
              <c:strCache>
                <c:ptCount val="1"/>
                <c:pt idx="0">
                  <c:v>Signal A vs B</c:v>
                </c:pt>
              </c:strCache>
            </c:strRef>
          </c:tx>
          <c:spPr>
            <a:solidFill>
              <a:srgbClr val="ffffff"/>
            </a:solidFill>
            <a:ln w="28440">
              <a:noFill/>
            </a:ln>
          </c:spPr>
          <c:marker>
            <c:symbol val="circle"/>
            <c:size val="7"/>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'Correlation Analysis'!$C$9:$C$17</c:f>
              <c:numCache>
                <c:formatCode>General</c:formatCode>
                <c:ptCount val="9"/>
              </c:numCache>
            </c:numRef>
          </c:xVal>
          <c:yVal>
            <c:numRef>
              <c:f>'Correlation Analysis'!$D$9:$D$17</c:f>
              <c:numCache>
                <c:formatCode>General</c:formatCode>
                <c:ptCount val="9"/>
              </c:numCache>
            </c:numRef>
          </c:yVal>
          <c:smooth val="1"/>
        </c:ser>
        <c:axId val="65799439"/>
        <c:axId val="19856188"/>
      </c:scatterChart>
      <c:valAx>
        <c:axId val="65799439"/>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Signal A value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856188"/>
        <c:crosses val="autoZero"/>
        <c:crossBetween val="midCat"/>
      </c:valAx>
      <c:valAx>
        <c:axId val="1985618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Signal B value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799439"/>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Signal A &amp; Signal B Over Time</a:t>
            </a:r>
          </a:p>
        </c:rich>
      </c:tx>
      <c:overlay val="0"/>
      <c:spPr>
        <a:noFill/>
        <a:ln w="0">
          <a:noFill/>
        </a:ln>
      </c:spPr>
    </c:title>
    <c:autoTitleDeleted val="0"/>
    <c:plotArea>
      <c:lineChart>
        <c:grouping val="standard"/>
        <c:varyColors val="0"/>
        <c:ser>
          <c:idx val="0"/>
          <c:order val="0"/>
          <c:tx>
            <c:strRef>
              <c:f>'Correlation Analysis'!$C$8</c:f>
              <c:strCache>
                <c:ptCount val="1"/>
                <c:pt idx="0">
                  <c:v>(e.g. Wage Growth)</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'Correlation Analysis'!$B$9:$B$17</c:f>
              <c:strCache>
                <c:ptCount val="9"/>
                <c:pt idx="0">
                  <c:v>2018</c:v>
                </c:pt>
                <c:pt idx="1">
                  <c:v>2019</c:v>
                </c:pt>
                <c:pt idx="2">
                  <c:v>2020</c:v>
                </c:pt>
                <c:pt idx="3">
                  <c:v>2021</c:v>
                </c:pt>
                <c:pt idx="4">
                  <c:v>2022</c:v>
                </c:pt>
                <c:pt idx="5">
                  <c:v>2023</c:v>
                </c:pt>
                <c:pt idx="6">
                  <c:v>2024</c:v>
                </c:pt>
                <c:pt idx="7">
                  <c:v>2025</c:v>
                </c:pt>
                <c:pt idx="8">
                  <c:v>2026</c:v>
                </c:pt>
              </c:strCache>
            </c:strRef>
          </c:cat>
          <c:val>
            <c:numRef>
              <c:f>'Correlation Analysis'!$C$9:$C$17</c:f>
              <c:numCache>
                <c:formatCode>General</c:formatCode>
                <c:ptCount val="9"/>
              </c:numCache>
            </c:numRef>
          </c:val>
          <c:smooth val="0"/>
        </c:ser>
        <c:ser>
          <c:idx val="1"/>
          <c:order val="1"/>
          <c:tx>
            <c:strRef>
              <c:f>'Correlation Analysis'!$D$8</c:f>
              <c:strCache>
                <c:ptCount val="1"/>
                <c:pt idx="0">
                  <c:v>(e.g. Rent Growth)</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'Correlation Analysis'!$B$9:$B$17</c:f>
              <c:strCache>
                <c:ptCount val="9"/>
                <c:pt idx="0">
                  <c:v>2018</c:v>
                </c:pt>
                <c:pt idx="1">
                  <c:v>2019</c:v>
                </c:pt>
                <c:pt idx="2">
                  <c:v>2020</c:v>
                </c:pt>
                <c:pt idx="3">
                  <c:v>2021</c:v>
                </c:pt>
                <c:pt idx="4">
                  <c:v>2022</c:v>
                </c:pt>
                <c:pt idx="5">
                  <c:v>2023</c:v>
                </c:pt>
                <c:pt idx="6">
                  <c:v>2024</c:v>
                </c:pt>
                <c:pt idx="7">
                  <c:v>2025</c:v>
                </c:pt>
                <c:pt idx="8">
                  <c:v>2026</c:v>
                </c:pt>
              </c:strCache>
            </c:strRef>
          </c:cat>
          <c:val>
            <c:numRef>
              <c:f>'Correlation Analysis'!$D$9:$D$17</c:f>
              <c:numCache>
                <c:formatCode>General</c:formatCode>
                <c:ptCount val="9"/>
              </c:numCache>
            </c:numRef>
          </c:val>
          <c:smooth val="0"/>
        </c:ser>
        <c:hiLowLines>
          <c:spPr>
            <a:ln w="0">
              <a:noFill/>
            </a:ln>
          </c:spPr>
        </c:hiLowLines>
        <c:marker val="0"/>
        <c:axId val="26262914"/>
        <c:axId val="17766178"/>
      </c:lineChart>
      <c:catAx>
        <c:axId val="2626291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766178"/>
        <c:crosses val="autoZero"/>
        <c:auto val="1"/>
        <c:lblAlgn val="ctr"/>
        <c:lblOffset val="100"/>
        <c:noMultiLvlLbl val="0"/>
      </c:catAx>
      <c:valAx>
        <c:axId val="1776617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Value (as entered)</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26291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2381040</xdr:colOff>
      <xdr:row>1</xdr:row>
      <xdr:rowOff>361440</xdr:rowOff>
    </xdr:to>
    <xdr:pic>
      <xdr:nvPicPr>
        <xdr:cNvPr id="0" name="Image 1" descr="Picture"/>
        <xdr:cNvPicPr/>
      </xdr:nvPicPr>
      <xdr:blipFill>
        <a:blip r:embed="rId1"/>
        <a:stretch/>
      </xdr:blipFill>
      <xdr:spPr>
        <a:xfrm>
          <a:off x="211320" y="190440"/>
          <a:ext cx="2381040" cy="3614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22</xdr:row>
      <xdr:rowOff>101160</xdr:rowOff>
    </xdr:from>
    <xdr:to>
      <xdr:col>11</xdr:col>
      <xdr:colOff>461880</xdr:colOff>
      <xdr:row>40</xdr:row>
      <xdr:rowOff>90000</xdr:rowOff>
    </xdr:to>
    <xdr:graphicFrame>
      <xdr:nvGraphicFramePr>
        <xdr:cNvPr id="1" name="Chart 1"/>
        <xdr:cNvGraphicFramePr/>
      </xdr:nvGraphicFramePr>
      <xdr:xfrm>
        <a:off x="141120" y="5835240"/>
        <a:ext cx="8637840" cy="341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0</xdr:rowOff>
    </xdr:from>
    <xdr:to>
      <xdr:col>2</xdr:col>
      <xdr:colOff>266760</xdr:colOff>
      <xdr:row>0</xdr:row>
      <xdr:rowOff>361440</xdr:rowOff>
    </xdr:to>
    <xdr:pic>
      <xdr:nvPicPr>
        <xdr:cNvPr id="2" name="Image 2" descr="Picture"/>
        <xdr:cNvPicPr/>
      </xdr:nvPicPr>
      <xdr:blipFill>
        <a:blip r:embed="rId2"/>
        <a:stretch/>
      </xdr:blipFill>
      <xdr:spPr>
        <a:xfrm>
          <a:off x="141120" y="0"/>
          <a:ext cx="2381040" cy="3614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18</xdr:row>
      <xdr:rowOff>100800</xdr:rowOff>
    </xdr:from>
    <xdr:to>
      <xdr:col>11</xdr:col>
      <xdr:colOff>461880</xdr:colOff>
      <xdr:row>36</xdr:row>
      <xdr:rowOff>89640</xdr:rowOff>
    </xdr:to>
    <xdr:graphicFrame>
      <xdr:nvGraphicFramePr>
        <xdr:cNvPr id="3" name="Chart 1"/>
        <xdr:cNvGraphicFramePr/>
      </xdr:nvGraphicFramePr>
      <xdr:xfrm>
        <a:off x="141120" y="4730040"/>
        <a:ext cx="8637840" cy="341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0</xdr:rowOff>
    </xdr:from>
    <xdr:to>
      <xdr:col>2</xdr:col>
      <xdr:colOff>266760</xdr:colOff>
      <xdr:row>0</xdr:row>
      <xdr:rowOff>361440</xdr:rowOff>
    </xdr:to>
    <xdr:pic>
      <xdr:nvPicPr>
        <xdr:cNvPr id="4" name="Image 2" descr="Picture"/>
        <xdr:cNvPicPr/>
      </xdr:nvPicPr>
      <xdr:blipFill>
        <a:blip r:embed="rId2"/>
        <a:stretch/>
      </xdr:blipFill>
      <xdr:spPr>
        <a:xfrm>
          <a:off x="141120" y="0"/>
          <a:ext cx="2381040" cy="3614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15</xdr:row>
      <xdr:rowOff>100800</xdr:rowOff>
    </xdr:from>
    <xdr:to>
      <xdr:col>11</xdr:col>
      <xdr:colOff>461880</xdr:colOff>
      <xdr:row>33</xdr:row>
      <xdr:rowOff>89640</xdr:rowOff>
    </xdr:to>
    <xdr:graphicFrame>
      <xdr:nvGraphicFramePr>
        <xdr:cNvPr id="5" name="Chart 1"/>
        <xdr:cNvGraphicFramePr/>
      </xdr:nvGraphicFramePr>
      <xdr:xfrm>
        <a:off x="141120" y="3901320"/>
        <a:ext cx="8637840" cy="341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0</xdr:rowOff>
    </xdr:from>
    <xdr:to>
      <xdr:col>2</xdr:col>
      <xdr:colOff>266760</xdr:colOff>
      <xdr:row>0</xdr:row>
      <xdr:rowOff>361440</xdr:rowOff>
    </xdr:to>
    <xdr:pic>
      <xdr:nvPicPr>
        <xdr:cNvPr id="6" name="Image 2" descr="Picture"/>
        <xdr:cNvPicPr/>
      </xdr:nvPicPr>
      <xdr:blipFill>
        <a:blip r:embed="rId2"/>
        <a:stretch/>
      </xdr:blipFill>
      <xdr:spPr>
        <a:xfrm>
          <a:off x="141120" y="0"/>
          <a:ext cx="2381040" cy="3614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29</xdr:row>
      <xdr:rowOff>28440</xdr:rowOff>
    </xdr:from>
    <xdr:to>
      <xdr:col>5</xdr:col>
      <xdr:colOff>1458360</xdr:colOff>
      <xdr:row>47</xdr:row>
      <xdr:rowOff>17280</xdr:rowOff>
    </xdr:to>
    <xdr:graphicFrame>
      <xdr:nvGraphicFramePr>
        <xdr:cNvPr id="7" name="Chart 1"/>
        <xdr:cNvGraphicFramePr/>
      </xdr:nvGraphicFramePr>
      <xdr:xfrm>
        <a:off x="141120" y="7391160"/>
        <a:ext cx="5757840" cy="341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29</xdr:row>
      <xdr:rowOff>28440</xdr:rowOff>
    </xdr:from>
    <xdr:to>
      <xdr:col>7</xdr:col>
      <xdr:colOff>401040</xdr:colOff>
      <xdr:row>47</xdr:row>
      <xdr:rowOff>17280</xdr:rowOff>
    </xdr:to>
    <xdr:graphicFrame>
      <xdr:nvGraphicFramePr>
        <xdr:cNvPr id="8" name="Chart 2"/>
        <xdr:cNvGraphicFramePr/>
      </xdr:nvGraphicFramePr>
      <xdr:xfrm>
        <a:off x="4440600" y="7391160"/>
        <a:ext cx="5757840" cy="3417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0</xdr:row>
      <xdr:rowOff>0</xdr:rowOff>
    </xdr:from>
    <xdr:to>
      <xdr:col>2</xdr:col>
      <xdr:colOff>548640</xdr:colOff>
      <xdr:row>0</xdr:row>
      <xdr:rowOff>361440</xdr:rowOff>
    </xdr:to>
    <xdr:pic>
      <xdr:nvPicPr>
        <xdr:cNvPr id="9" name="Image 3" descr="Picture"/>
        <xdr:cNvPicPr/>
      </xdr:nvPicPr>
      <xdr:blipFill>
        <a:blip r:embed="rId3"/>
        <a:stretch/>
      </xdr:blipFill>
      <xdr:spPr>
        <a:xfrm>
          <a:off x="141120" y="0"/>
          <a:ext cx="2381040" cy="3614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B2:B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0"/>
    <col collapsed="false" customWidth="true" hidden="false" outlineLevel="0" max="3" min="3" style="1" width="3"/>
  </cols>
  <sheetData>
    <row r="2" customFormat="false" ht="33.75" hidden="false" customHeight="true" outlineLevel="0" collapsed="false">
      <c r="B2" s="2"/>
    </row>
    <row r="3" customFormat="false" ht="19.5" hidden="false" customHeight="true" outlineLevel="0" collapsed="false">
      <c r="B3" s="3" t="s">
        <v>0</v>
      </c>
    </row>
    <row r="5" customFormat="false" ht="26.25" hidden="false" customHeight="true" outlineLevel="0" collapsed="false">
      <c r="B5" s="4" t="s">
        <v>1</v>
      </c>
    </row>
    <row r="6" customFormat="false" ht="15.75" hidden="false" customHeight="true" outlineLevel="0" collapsed="false">
      <c r="B6" s="5" t="s">
        <v>2</v>
      </c>
    </row>
    <row r="7" customFormat="false" ht="3.75" hidden="false" customHeight="true" outlineLevel="0" collapsed="false">
      <c r="B7" s="6"/>
    </row>
    <row r="8" customFormat="false" ht="6" hidden="false" customHeight="true" outlineLevel="0" collapsed="false">
      <c r="B8" s="7"/>
    </row>
    <row r="9" customFormat="false" ht="13.5" hidden="false" customHeight="true" outlineLevel="0" collapsed="false">
      <c r="B9" s="8" t="s">
        <v>3</v>
      </c>
    </row>
    <row r="10" customFormat="false" ht="69.75" hidden="false" customHeight="true" outlineLevel="0" collapsed="false">
      <c r="B10" s="7" t="s">
        <v>4</v>
      </c>
    </row>
    <row r="11" customFormat="false" ht="6" hidden="false" customHeight="true" outlineLevel="0" collapsed="false">
      <c r="B11" s="7"/>
    </row>
    <row r="12" customFormat="false" ht="13.5" hidden="false" customHeight="true" outlineLevel="0" collapsed="false">
      <c r="B12" s="8" t="s">
        <v>5</v>
      </c>
    </row>
    <row r="13" customFormat="false" ht="21.75" hidden="false" customHeight="true" outlineLevel="0" collapsed="false">
      <c r="B13" s="7" t="s">
        <v>6</v>
      </c>
    </row>
    <row r="14" customFormat="false" ht="37.5" hidden="false" customHeight="true" outlineLevel="0" collapsed="false">
      <c r="B14" s="7" t="s">
        <v>7</v>
      </c>
    </row>
    <row r="15" customFormat="false" ht="31.5" hidden="false" customHeight="true" outlineLevel="0" collapsed="false">
      <c r="B15" s="7" t="s">
        <v>8</v>
      </c>
    </row>
    <row r="16" customFormat="false" ht="31.5" hidden="false" customHeight="true" outlineLevel="0" collapsed="false">
      <c r="B16" s="7" t="s">
        <v>9</v>
      </c>
    </row>
    <row r="17" customFormat="false" ht="6" hidden="false" customHeight="true" outlineLevel="0" collapsed="false">
      <c r="B17" s="7"/>
    </row>
    <row r="18" customFormat="false" ht="13.5" hidden="false" customHeight="true" outlineLevel="0" collapsed="false">
      <c r="B18" s="8" t="s">
        <v>10</v>
      </c>
    </row>
    <row r="19" customFormat="false" ht="30" hidden="false" customHeight="true" outlineLevel="0" collapsed="false">
      <c r="B19" s="7" t="s">
        <v>11</v>
      </c>
    </row>
    <row r="20" customFormat="false" ht="37.5" hidden="false" customHeight="true" outlineLevel="0" collapsed="false">
      <c r="B20" s="7" t="s">
        <v>12</v>
      </c>
    </row>
    <row r="21" customFormat="false" ht="31.5" hidden="false" customHeight="true" outlineLevel="0" collapsed="false">
      <c r="B21" s="7" t="s">
        <v>13</v>
      </c>
    </row>
    <row r="22" customFormat="false" ht="45.75" hidden="false" customHeight="true" outlineLevel="0" collapsed="false">
      <c r="B22" s="7" t="s">
        <v>14</v>
      </c>
    </row>
    <row r="23" customFormat="false" ht="45.75" hidden="false" customHeight="true" outlineLevel="0" collapsed="false">
      <c r="B23" s="7" t="s">
        <v>15</v>
      </c>
    </row>
    <row r="24" customFormat="false" ht="6" hidden="false" customHeight="true" outlineLevel="0" collapsed="false">
      <c r="B24" s="7"/>
    </row>
    <row r="25" customFormat="false" ht="13.5" hidden="false" customHeight="true" outlineLevel="0" collapsed="false">
      <c r="B25" s="8" t="s">
        <v>16</v>
      </c>
    </row>
    <row r="26" customFormat="false" ht="78" hidden="false" customHeight="true" outlineLevel="0" collapsed="false">
      <c r="B26" s="7" t="s">
        <v>17</v>
      </c>
    </row>
    <row r="27" customFormat="false" ht="6" hidden="false" customHeight="true" outlineLevel="0" collapsed="false">
      <c r="B27" s="7"/>
    </row>
    <row r="28" customFormat="false" ht="13.5" hidden="false" customHeight="true" outlineLevel="0" collapsed="false">
      <c r="B28" s="8" t="s">
        <v>18</v>
      </c>
    </row>
    <row r="29" customFormat="false" ht="55.5" hidden="false" customHeight="true" outlineLevel="0" collapsed="false">
      <c r="B29" s="7" t="s">
        <v>19</v>
      </c>
    </row>
    <row r="31" customFormat="false" ht="6" hidden="false" customHeight="true" outlineLevel="0" collapsed="false">
      <c r="B31" s="7" t="inlineStr">
        <is>
          <t xml:space="preserve"/>
        </is>
      </c>
    </row>
    <row r="32" customFormat="false" ht="13.5" hidden="false" customHeight="true" outlineLevel="0" collapsed="false">
      <c r="B32" s="8" t="inlineStr">
        <is>
          <t xml:space="preserve">READY TO STOP UPDATING THIS BY HAND?</t>
        </is>
      </c>
    </row>
    <row r="33" customFormat="false" ht="57" hidden="false" customHeight="true" outlineLevel="0" collapsed="false">
      <c r="B33" s="7" t="inlineStr">
        <is>
          <t xml:space="preserve">This workbook is the manual version of the Cignal Dashboard. Every number in it has to be looked up, typed in, and refreshed by you: every month, for every signal, across all three layers. That discipline is valuable, and it is how you learn to read the cycle. It is also the first part of the work that falls behind when you get busy.</t>
        </is>
      </c>
    </row>
    <row r="34" customFormat="false" ht="18" hidden="false" customHeight="true" outlineLevel="0" collapsed="false">
      <c r="B34" s="7" t="inlineStr">
        <is>
          <t xml:space="preserve">Cignal Pro is the digital version of this same tracker, built on the same Onion Framework, and it keeps itself current:</t>
        </is>
      </c>
    </row>
    <row r="35" customFormat="false" ht="16.5" hidden="false" customHeight="true" outlineLevel="0" collapsed="false">
      <c r="B35" s="7" t="inlineStr">
        <is>
          <t xml:space="preserve">     •  The signals update on their own. No lookups, no data entry, no stale months.</t>
        </is>
      </c>
    </row>
    <row r="36" customFormat="false" ht="16.5" hidden="false" customHeight="true" outlineLevel="0" collapsed="false">
      <c r="B36" s="7" t="inlineStr">
        <is>
          <t xml:space="preserve">     •  The history is already loaded, so your historical comparisons and trend lines are there on day one.</t>
        </is>
      </c>
    </row>
    <row r="37" customFormat="false" ht="16.5" hidden="false" customHeight="true" outlineLevel="0" collapsed="false">
      <c r="B37" s="7" t="inlineStr">
        <is>
          <t xml:space="preserve">     •  Macro, industry, and your own submarkets sit together in one dashboard, charted and ready to read.</t>
        </is>
      </c>
    </row>
    <row r="38" customFormat="false" ht="30" hidden="false" customHeight="true" outlineLevel="0" collapsed="false">
      <c r="B38" s="7" t="inlineStr">
        <is>
          <t xml:space="preserve">     •  Your time goes into interpreting the cycle and making the call, which is the part of the work only you can do.</t>
        </is>
      </c>
    </row>
    <row r="39" customFormat="false" ht="8" hidden="false" customHeight="true" outlineLevel="0" collapsed="false">
      <c r="B39" s="7" t="inlineStr">
        <is>
          <t xml:space="preserve"/>
        </is>
      </c>
    </row>
    <row r="40" customFormat="false" ht="30" hidden="false" customHeight="true" outlineLevel="0" collapsed="false">
      <c r="B40" s="41" t="str">
        <f aca="false">HYPERLINK("https://cignalsystem.com/?utm_source=econiq&amp;utm_medium=signal-tracker&amp;utm_campaign=start-here","UPGRADE TO CIGNAL PRO   →   cignalsystem.com")</f>
        <v>UPGRADE TO CIGNAL PRO   →   cignalsystem.com</v>
      </c>
    </row>
    <row r="41" customFormat="false" ht="6" hidden="false" customHeight="true" outlineLevel="0" collapsed="false">
      <c r="B41" s="7" t="inlineStr">
        <is>
          <t xml:space="preserve"/>
        </is>
      </c>
    </row>
    <row r="42" customFormat="false" ht="27" hidden="false" customHeight="true" outlineLevel="0" collapsed="false">
      <c r="B42" s="9" t="inlineStr">
        <is>
          <t xml:space="preserve">Keep this workbook either way. The method is the same in both places; Cignal Pro simply does the data entry for you and builds the digital version of your dashboard as the markets move.</t>
        </is>
      </c>
    </row>
    <row r="43" customFormat="false" ht="8" hidden="false" customHeight="true" outlineLevel="0" collapsed="false">
      <c r="B43" s="7" t="inlineStr">
        <is>
          <t xml:space="preserve"/>
        </is>
      </c>
    </row>
    <row r="44" customFormat="false" ht="3.75" hidden="false" customHeight="true" outlineLevel="0" collapsed="false">
      <c r="B44" s="6"/>
    </row>
    <row r="45" customFormat="false" ht="15" hidden="false" customHeight="true" outlineLevel="0" collapsed="false">
      <c r="B45" s="9"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2D"/>
    <pageSetUpPr fitToPage="false"/>
  </sheetPr>
  <dimension ref="B1:O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14"/>
    <col collapsed="false" customWidth="true" hidden="false" outlineLevel="0" max="12" min="4" style="1" width="9"/>
    <col collapsed="false" customWidth="true" hidden="false" outlineLevel="0" max="14" min="13" style="1" width="11"/>
    <col collapsed="false" customWidth="true" hidden="false" outlineLevel="0" max="15" min="15" style="1" width="42"/>
  </cols>
  <sheetData>
    <row r="1" customFormat="false" ht="33.75" hidden="false" customHeight="true" outlineLevel="0" collapsed="false"/>
    <row r="2" customFormat="false" ht="21.75" hidden="false" customHeight="true" outlineLevel="0" collapsed="false">
      <c r="B2" s="10" t="s">
        <v>21</v>
      </c>
      <c r="C2" s="10"/>
      <c r="D2" s="10"/>
      <c r="E2" s="10"/>
      <c r="F2" s="10"/>
      <c r="G2" s="10"/>
      <c r="H2" s="10"/>
      <c r="I2" s="10"/>
      <c r="J2" s="10"/>
      <c r="K2" s="10"/>
      <c r="L2" s="10"/>
      <c r="M2" s="10"/>
      <c r="N2" s="10"/>
      <c r="O2" s="10"/>
    </row>
    <row r="3" customFormat="false" ht="15" hidden="false" customHeight="true" outlineLevel="0" collapsed="false">
      <c r="B3" s="11" t="s">
        <v>22</v>
      </c>
      <c r="C3" s="11"/>
      <c r="D3" s="11"/>
      <c r="E3" s="11"/>
      <c r="F3" s="11"/>
      <c r="G3" s="11"/>
      <c r="H3" s="11"/>
      <c r="I3" s="11"/>
      <c r="J3" s="11"/>
      <c r="K3" s="11"/>
      <c r="L3" s="11"/>
      <c r="M3" s="11"/>
      <c r="N3" s="11"/>
      <c r="O3" s="11"/>
    </row>
    <row r="4" customFormat="false" ht="15" hidden="false" customHeight="true" outlineLevel="0" collapsed="false">
      <c r="B4" s="12" t="s">
        <v>23</v>
      </c>
      <c r="C4" s="12"/>
      <c r="D4" s="12"/>
      <c r="E4" s="12"/>
      <c r="F4" s="12"/>
      <c r="G4" s="12"/>
      <c r="H4" s="12"/>
      <c r="I4" s="12"/>
      <c r="J4" s="12"/>
      <c r="K4" s="12"/>
      <c r="L4" s="12"/>
      <c r="M4" s="12"/>
      <c r="N4" s="12"/>
      <c r="O4" s="12"/>
    </row>
    <row r="5" customFormat="false" ht="15" hidden="false" customHeight="true" outlineLevel="0" collapsed="false">
      <c r="B5" s="13" t="s">
        <v>24</v>
      </c>
      <c r="C5" s="13"/>
      <c r="D5" s="13"/>
      <c r="E5" s="13"/>
      <c r="F5" s="13"/>
      <c r="G5" s="13"/>
      <c r="H5" s="13"/>
      <c r="I5" s="13"/>
      <c r="J5" s="13"/>
      <c r="K5" s="13"/>
      <c r="L5" s="13"/>
      <c r="M5" s="13"/>
      <c r="N5" s="13"/>
      <c r="O5" s="13"/>
    </row>
    <row r="7" customFormat="false" ht="30" hidden="false" customHeight="true" outlineLevel="0" collapsed="false">
      <c r="B7" s="14" t="s">
        <v>25</v>
      </c>
      <c r="C7" s="14" t="s">
        <v>26</v>
      </c>
      <c r="D7" s="14" t="s">
        <v>27</v>
      </c>
      <c r="E7" s="14" t="s">
        <v>28</v>
      </c>
      <c r="F7" s="14" t="s">
        <v>29</v>
      </c>
      <c r="G7" s="14" t="s">
        <v>30</v>
      </c>
      <c r="H7" s="14" t="s">
        <v>31</v>
      </c>
      <c r="I7" s="14" t="s">
        <v>32</v>
      </c>
      <c r="J7" s="14" t="s">
        <v>33</v>
      </c>
      <c r="K7" s="14" t="s">
        <v>34</v>
      </c>
      <c r="L7" s="14" t="s">
        <v>35</v>
      </c>
      <c r="M7" s="14" t="s">
        <v>36</v>
      </c>
      <c r="N7" s="14" t="s">
        <v>37</v>
      </c>
      <c r="O7" s="14" t="s">
        <v>38</v>
      </c>
    </row>
    <row r="8" customFormat="false" ht="21.75" hidden="false" customHeight="true" outlineLevel="0" collapsed="false">
      <c r="B8" s="15" t="s">
        <v>39</v>
      </c>
      <c r="C8" s="16" t="s">
        <v>40</v>
      </c>
      <c r="D8" s="17"/>
      <c r="E8" s="17"/>
      <c r="F8" s="17"/>
      <c r="G8" s="17"/>
      <c r="H8" s="17"/>
      <c r="I8" s="17"/>
      <c r="J8" s="17"/>
      <c r="K8" s="17"/>
      <c r="L8" s="17"/>
      <c r="M8" s="18" t="str">
        <f aca="false">IF(OR(K8="",L8="",K8=0),"",(L8-K8)/ABS(K8))</f>
        <v/>
      </c>
      <c r="N8" s="19" t="str">
        <f aca="false">IF(M8="","",IF(M8&gt;0.02,"Rising",IF(M8&lt;-0.02,"Falling","Flat")))</f>
        <v/>
      </c>
      <c r="O8" s="20" t="s">
        <v>41</v>
      </c>
    </row>
    <row r="9" customFormat="false" ht="21.75" hidden="false" customHeight="true" outlineLevel="0" collapsed="false">
      <c r="B9" s="21" t="s">
        <v>42</v>
      </c>
      <c r="C9" s="22" t="s">
        <v>43</v>
      </c>
      <c r="D9" s="17"/>
      <c r="E9" s="17"/>
      <c r="F9" s="17"/>
      <c r="G9" s="17"/>
      <c r="H9" s="17"/>
      <c r="I9" s="17"/>
      <c r="J9" s="17"/>
      <c r="K9" s="17"/>
      <c r="L9" s="17"/>
      <c r="M9" s="18" t="str">
        <f aca="false">IF(OR(K9="",L9="",K9=0),"",(L9-K9)/ABS(K9))</f>
        <v/>
      </c>
      <c r="N9" s="19" t="str">
        <f aca="false">IF(M9="","",IF(M9&gt;0.02,"Rising",IF(M9&lt;-0.02,"Falling","Flat")))</f>
        <v/>
      </c>
      <c r="O9" s="23" t="s">
        <v>44</v>
      </c>
    </row>
    <row r="10" customFormat="false" ht="21.75" hidden="false" customHeight="true" outlineLevel="0" collapsed="false">
      <c r="B10" s="15" t="s">
        <v>45</v>
      </c>
      <c r="C10" s="16" t="s">
        <v>46</v>
      </c>
      <c r="D10" s="17"/>
      <c r="E10" s="17"/>
      <c r="F10" s="17"/>
      <c r="G10" s="17"/>
      <c r="H10" s="17"/>
      <c r="I10" s="17"/>
      <c r="J10" s="17"/>
      <c r="K10" s="17"/>
      <c r="L10" s="17"/>
      <c r="M10" s="18" t="str">
        <f aca="false">IF(OR(K10="",L10="",K10=0),"",(L10-K10)/ABS(K10))</f>
        <v/>
      </c>
      <c r="N10" s="19" t="str">
        <f aca="false">IF(M10="","",IF(M10&gt;0.02,"Rising",IF(M10&lt;-0.02,"Falling","Flat")))</f>
        <v/>
      </c>
      <c r="O10" s="20" t="s">
        <v>47</v>
      </c>
    </row>
    <row r="11" customFormat="false" ht="21.75" hidden="false" customHeight="true" outlineLevel="0" collapsed="false">
      <c r="B11" s="21" t="s">
        <v>48</v>
      </c>
      <c r="C11" s="22" t="s">
        <v>49</v>
      </c>
      <c r="D11" s="17"/>
      <c r="E11" s="17"/>
      <c r="F11" s="17"/>
      <c r="G11" s="17"/>
      <c r="H11" s="17"/>
      <c r="I11" s="17"/>
      <c r="J11" s="17"/>
      <c r="K11" s="17"/>
      <c r="L11" s="17"/>
      <c r="M11" s="18" t="str">
        <f aca="false">IF(OR(K11="",L11="",K11=0),"",(L11-K11)/ABS(K11))</f>
        <v/>
      </c>
      <c r="N11" s="19" t="str">
        <f aca="false">IF(M11="","",IF(M11&gt;0.02,"Rising",IF(M11&lt;-0.02,"Falling","Flat")))</f>
        <v/>
      </c>
      <c r="O11" s="23" t="s">
        <v>50</v>
      </c>
    </row>
    <row r="12" customFormat="false" ht="21.75" hidden="false" customHeight="true" outlineLevel="0" collapsed="false">
      <c r="B12" s="15" t="s">
        <v>51</v>
      </c>
      <c r="C12" s="16" t="s">
        <v>52</v>
      </c>
      <c r="D12" s="17"/>
      <c r="E12" s="17"/>
      <c r="F12" s="17"/>
      <c r="G12" s="17"/>
      <c r="H12" s="17"/>
      <c r="I12" s="17"/>
      <c r="J12" s="17"/>
      <c r="K12" s="17"/>
      <c r="L12" s="17"/>
      <c r="M12" s="18" t="str">
        <f aca="false">IF(OR(K12="",L12="",K12=0),"",(L12-K12)/ABS(K12))</f>
        <v/>
      </c>
      <c r="N12" s="19" t="str">
        <f aca="false">IF(M12="","",IF(M12&gt;0.02,"Rising",IF(M12&lt;-0.02,"Falling","Flat")))</f>
        <v/>
      </c>
      <c r="O12" s="20" t="s">
        <v>53</v>
      </c>
    </row>
    <row r="13" customFormat="false" ht="21.75" hidden="false" customHeight="true" outlineLevel="0" collapsed="false">
      <c r="B13" s="21" t="s">
        <v>54</v>
      </c>
      <c r="C13" s="22" t="s">
        <v>55</v>
      </c>
      <c r="D13" s="17"/>
      <c r="E13" s="17"/>
      <c r="F13" s="17"/>
      <c r="G13" s="17"/>
      <c r="H13" s="17"/>
      <c r="I13" s="17"/>
      <c r="J13" s="17"/>
      <c r="K13" s="17"/>
      <c r="L13" s="17"/>
      <c r="M13" s="18" t="str">
        <f aca="false">IF(OR(K13="",L13="",K13=0),"",(L13-K13)/ABS(K13))</f>
        <v/>
      </c>
      <c r="N13" s="19" t="str">
        <f aca="false">IF(M13="","",IF(M13&gt;0.02,"Rising",IF(M13&lt;-0.02,"Falling","Flat")))</f>
        <v/>
      </c>
      <c r="O13" s="23" t="s">
        <v>56</v>
      </c>
    </row>
    <row r="14" customFormat="false" ht="21.75" hidden="false" customHeight="true" outlineLevel="0" collapsed="false">
      <c r="B14" s="15" t="s">
        <v>57</v>
      </c>
      <c r="C14" s="16" t="s">
        <v>46</v>
      </c>
      <c r="D14" s="17"/>
      <c r="E14" s="17"/>
      <c r="F14" s="17"/>
      <c r="G14" s="17"/>
      <c r="H14" s="17"/>
      <c r="I14" s="17"/>
      <c r="J14" s="17"/>
      <c r="K14" s="17"/>
      <c r="L14" s="17"/>
      <c r="M14" s="18" t="str">
        <f aca="false">IF(OR(K14="",L14="",K14=0),"",(L14-K14)/ABS(K14))</f>
        <v/>
      </c>
      <c r="N14" s="19" t="str">
        <f aca="false">IF(M14="","",IF(M14&gt;0.02,"Rising",IF(M14&lt;-0.02,"Falling","Flat")))</f>
        <v/>
      </c>
      <c r="O14" s="20" t="s">
        <v>58</v>
      </c>
    </row>
    <row r="15" customFormat="false" ht="21.75" hidden="false" customHeight="true" outlineLevel="0" collapsed="false">
      <c r="B15" s="21" t="s">
        <v>59</v>
      </c>
      <c r="C15" s="22" t="s">
        <v>43</v>
      </c>
      <c r="D15" s="17"/>
      <c r="E15" s="17"/>
      <c r="F15" s="17"/>
      <c r="G15" s="17"/>
      <c r="H15" s="17"/>
      <c r="I15" s="17"/>
      <c r="J15" s="17"/>
      <c r="K15" s="17"/>
      <c r="L15" s="17"/>
      <c r="M15" s="18" t="str">
        <f aca="false">IF(OR(K15="",L15="",K15=0),"",(L15-K15)/ABS(K15))</f>
        <v/>
      </c>
      <c r="N15" s="19" t="str">
        <f aca="false">IF(M15="","",IF(M15&gt;0.02,"Rising",IF(M15&lt;-0.02,"Falling","Flat")))</f>
        <v/>
      </c>
      <c r="O15" s="23" t="s">
        <v>60</v>
      </c>
    </row>
    <row r="16" customFormat="false" ht="21.75" hidden="false" customHeight="true" outlineLevel="0" collapsed="false">
      <c r="B16" s="15" t="s">
        <v>61</v>
      </c>
      <c r="C16" s="16" t="s">
        <v>62</v>
      </c>
      <c r="D16" s="17"/>
      <c r="E16" s="17"/>
      <c r="F16" s="17"/>
      <c r="G16" s="17"/>
      <c r="H16" s="17"/>
      <c r="I16" s="17"/>
      <c r="J16" s="17"/>
      <c r="K16" s="17"/>
      <c r="L16" s="17"/>
      <c r="M16" s="18" t="str">
        <f aca="false">IF(OR(K16="",L16="",K16=0),"",(L16-K16)/ABS(K16))</f>
        <v/>
      </c>
      <c r="N16" s="19" t="str">
        <f aca="false">IF(M16="","",IF(M16&gt;0.02,"Rising",IF(M16&lt;-0.02,"Falling","Flat")))</f>
        <v/>
      </c>
      <c r="O16" s="20" t="s">
        <v>63</v>
      </c>
    </row>
    <row r="17" customFormat="false" ht="21.75" hidden="false" customHeight="true" outlineLevel="0" collapsed="false">
      <c r="B17" s="21" t="s">
        <v>64</v>
      </c>
      <c r="C17" s="22" t="s">
        <v>65</v>
      </c>
      <c r="D17" s="17"/>
      <c r="E17" s="17"/>
      <c r="F17" s="17"/>
      <c r="G17" s="17"/>
      <c r="H17" s="17"/>
      <c r="I17" s="17"/>
      <c r="J17" s="17"/>
      <c r="K17" s="17"/>
      <c r="L17" s="17"/>
      <c r="M17" s="18" t="str">
        <f aca="false">IF(OR(K17="",L17="",K17=0),"",(L17-K17)/ABS(K17))</f>
        <v/>
      </c>
      <c r="N17" s="19" t="str">
        <f aca="false">IF(M17="","",IF(M17&gt;0.02,"Rising",IF(M17&lt;-0.02,"Falling","Flat")))</f>
        <v/>
      </c>
      <c r="O17" s="23" t="s">
        <v>66</v>
      </c>
    </row>
    <row r="18" customFormat="false" ht="21.75" hidden="false" customHeight="true" outlineLevel="0" collapsed="false">
      <c r="B18" s="15" t="s">
        <v>67</v>
      </c>
      <c r="C18" s="16" t="s">
        <v>68</v>
      </c>
      <c r="D18" s="17"/>
      <c r="E18" s="17"/>
      <c r="F18" s="17"/>
      <c r="G18" s="17"/>
      <c r="H18" s="17"/>
      <c r="I18" s="17"/>
      <c r="J18" s="17"/>
      <c r="K18" s="17"/>
      <c r="L18" s="17"/>
      <c r="M18" s="18" t="str">
        <f aca="false">IF(OR(K18="",L18="",K18=0),"",(L18-K18)/ABS(K18))</f>
        <v/>
      </c>
      <c r="N18" s="19" t="str">
        <f aca="false">IF(M18="","",IF(M18&gt;0.02,"Rising",IF(M18&lt;-0.02,"Falling","Flat")))</f>
        <v/>
      </c>
      <c r="O18" s="20" t="s">
        <v>69</v>
      </c>
    </row>
    <row r="19" customFormat="false" ht="21.75" hidden="false" customHeight="true" outlineLevel="0" collapsed="false">
      <c r="B19" s="21" t="s">
        <v>70</v>
      </c>
      <c r="C19" s="22" t="s">
        <v>71</v>
      </c>
      <c r="D19" s="17"/>
      <c r="E19" s="17"/>
      <c r="F19" s="17"/>
      <c r="G19" s="17"/>
      <c r="H19" s="17"/>
      <c r="I19" s="17"/>
      <c r="J19" s="17"/>
      <c r="K19" s="17"/>
      <c r="L19" s="17"/>
      <c r="M19" s="18" t="str">
        <f aca="false">IF(OR(K19="",L19="",K19=0),"",(L19-K19)/ABS(K19))</f>
        <v/>
      </c>
      <c r="N19" s="19" t="str">
        <f aca="false">IF(M19="","",IF(M19&gt;0.02,"Rising",IF(M19&lt;-0.02,"Falling","Flat")))</f>
        <v/>
      </c>
      <c r="O19" s="23" t="s">
        <v>72</v>
      </c>
    </row>
    <row r="22" customFormat="false" ht="15" hidden="false" customHeight="true" outlineLevel="0" collapsed="false">
      <c r="B22" s="24" t="s">
        <v>73</v>
      </c>
      <c r="C22" s="24"/>
      <c r="D22" s="24"/>
      <c r="E22" s="24"/>
      <c r="F22" s="24"/>
      <c r="G22" s="24"/>
      <c r="H22" s="24"/>
      <c r="I22" s="24"/>
      <c r="J22" s="24"/>
      <c r="K22" s="24"/>
      <c r="L22" s="24"/>
      <c r="M22" s="24"/>
      <c r="N22" s="24"/>
      <c r="O22" s="24"/>
    </row>
    <row r="43" customFormat="false" ht="27" hidden="false" customHeight="true" outlineLevel="0" collapsed="false">
      <c r="B43" s="42" t="str">
        <f aca="false">HYPERLINK("https://cignalsystem.com/?utm_source=econiq&amp;utm_medium=signal-tracker&amp;utm_campaign=layer-3-macro","Tired of updating this tab by hand?  Cignal Pro tracks every signal automatically   →   cignalsystem.com")</f>
        <v>Tired of updating this tab by hand?  Cignal Pro tracks every signal automatically   →   cignalsystem.com</v>
      </c>
      <c r="C43" s="42"/>
      <c r="D43" s="42"/>
      <c r="E43" s="42"/>
      <c r="F43" s="42"/>
      <c r="G43" s="42"/>
      <c r="H43" s="42"/>
      <c r="I43" s="42"/>
      <c r="J43" s="42"/>
      <c r="K43" s="42"/>
      <c r="L43" s="42"/>
      <c r="M43" s="42"/>
      <c r="N43" s="42"/>
      <c r="O43" s="42"/>
    </row>
  </sheetData>
  <mergeCells count="6">
    <mergeCell ref="B43:O43"/>
    <mergeCell ref="B2:O2"/>
    <mergeCell ref="B3:O3"/>
    <mergeCell ref="B4:O4"/>
    <mergeCell ref="B5:O5"/>
    <mergeCell ref="B22:O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2D"/>
    <pageSetUpPr fitToPage="false"/>
  </sheetPr>
  <dimension ref="B1:O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14"/>
    <col collapsed="false" customWidth="true" hidden="false" outlineLevel="0" max="12" min="4" style="1" width="9"/>
    <col collapsed="false" customWidth="true" hidden="false" outlineLevel="0" max="14" min="13" style="1" width="11"/>
    <col collapsed="false" customWidth="true" hidden="false" outlineLevel="0" max="15" min="15" style="1" width="42"/>
  </cols>
  <sheetData>
    <row r="1" customFormat="false" ht="33.75" hidden="false" customHeight="true" outlineLevel="0" collapsed="false"/>
    <row r="2" customFormat="false" ht="21.75" hidden="false" customHeight="true" outlineLevel="0" collapsed="false">
      <c r="B2" s="10" t="s">
        <v>74</v>
      </c>
      <c r="C2" s="10"/>
      <c r="D2" s="10"/>
      <c r="E2" s="10"/>
      <c r="F2" s="10"/>
      <c r="G2" s="10"/>
      <c r="H2" s="10"/>
      <c r="I2" s="10"/>
      <c r="J2" s="10"/>
      <c r="K2" s="10"/>
      <c r="L2" s="10"/>
      <c r="M2" s="10"/>
      <c r="N2" s="10"/>
      <c r="O2" s="10"/>
    </row>
    <row r="3" customFormat="false" ht="15" hidden="false" customHeight="true" outlineLevel="0" collapsed="false">
      <c r="B3" s="11" t="s">
        <v>75</v>
      </c>
      <c r="C3" s="11"/>
      <c r="D3" s="11"/>
      <c r="E3" s="11"/>
      <c r="F3" s="11"/>
      <c r="G3" s="11"/>
      <c r="H3" s="11"/>
      <c r="I3" s="11"/>
      <c r="J3" s="11"/>
      <c r="K3" s="11"/>
      <c r="L3" s="11"/>
      <c r="M3" s="11"/>
      <c r="N3" s="11"/>
      <c r="O3" s="11"/>
    </row>
    <row r="4" customFormat="false" ht="15" hidden="false" customHeight="true" outlineLevel="0" collapsed="false">
      <c r="B4" s="12" t="s">
        <v>76</v>
      </c>
      <c r="C4" s="12"/>
      <c r="D4" s="12"/>
      <c r="E4" s="12"/>
      <c r="F4" s="12"/>
      <c r="G4" s="12"/>
      <c r="H4" s="12"/>
      <c r="I4" s="12"/>
      <c r="J4" s="12"/>
      <c r="K4" s="12"/>
      <c r="L4" s="12"/>
      <c r="M4" s="12"/>
      <c r="N4" s="12"/>
      <c r="O4" s="12"/>
    </row>
    <row r="5" customFormat="false" ht="15" hidden="false" customHeight="true" outlineLevel="0" collapsed="false">
      <c r="B5" s="13" t="s">
        <v>24</v>
      </c>
      <c r="C5" s="13"/>
      <c r="D5" s="13"/>
      <c r="E5" s="13"/>
      <c r="F5" s="13"/>
      <c r="G5" s="13"/>
      <c r="H5" s="13"/>
      <c r="I5" s="13"/>
      <c r="J5" s="13"/>
      <c r="K5" s="13"/>
      <c r="L5" s="13"/>
      <c r="M5" s="13"/>
      <c r="N5" s="13"/>
      <c r="O5" s="13"/>
    </row>
    <row r="7" customFormat="false" ht="30" hidden="false" customHeight="true" outlineLevel="0" collapsed="false">
      <c r="B7" s="14" t="s">
        <v>25</v>
      </c>
      <c r="C7" s="14" t="s">
        <v>26</v>
      </c>
      <c r="D7" s="14" t="s">
        <v>27</v>
      </c>
      <c r="E7" s="14" t="s">
        <v>28</v>
      </c>
      <c r="F7" s="14" t="s">
        <v>29</v>
      </c>
      <c r="G7" s="14" t="s">
        <v>30</v>
      </c>
      <c r="H7" s="14" t="s">
        <v>31</v>
      </c>
      <c r="I7" s="14" t="s">
        <v>32</v>
      </c>
      <c r="J7" s="14" t="s">
        <v>33</v>
      </c>
      <c r="K7" s="14" t="s">
        <v>34</v>
      </c>
      <c r="L7" s="14" t="s">
        <v>35</v>
      </c>
      <c r="M7" s="14" t="s">
        <v>36</v>
      </c>
      <c r="N7" s="14" t="s">
        <v>37</v>
      </c>
      <c r="O7" s="14" t="s">
        <v>38</v>
      </c>
    </row>
    <row r="8" customFormat="false" ht="21.75" hidden="false" customHeight="true" outlineLevel="0" collapsed="false">
      <c r="B8" s="15" t="s">
        <v>77</v>
      </c>
      <c r="C8" s="16" t="s">
        <v>78</v>
      </c>
      <c r="D8" s="17"/>
      <c r="E8" s="17"/>
      <c r="F8" s="17"/>
      <c r="G8" s="17"/>
      <c r="H8" s="17"/>
      <c r="I8" s="17"/>
      <c r="J8" s="17"/>
      <c r="K8" s="17"/>
      <c r="L8" s="17"/>
      <c r="M8" s="18" t="str">
        <f aca="false">IF(OR(K8="",L8="",K8=0),"",(L8-K8)/ABS(K8))</f>
        <v/>
      </c>
      <c r="N8" s="19" t="str">
        <f aca="false">IF(M8="","",IF(M8&gt;0.02,"Rising",IF(M8&lt;-0.02,"Falling","Flat")))</f>
        <v/>
      </c>
      <c r="O8" s="20" t="s">
        <v>79</v>
      </c>
    </row>
    <row r="9" customFormat="false" ht="21.75" hidden="false" customHeight="true" outlineLevel="0" collapsed="false">
      <c r="B9" s="21" t="s">
        <v>80</v>
      </c>
      <c r="C9" s="22" t="s">
        <v>81</v>
      </c>
      <c r="D9" s="17"/>
      <c r="E9" s="17"/>
      <c r="F9" s="17"/>
      <c r="G9" s="17"/>
      <c r="H9" s="17"/>
      <c r="I9" s="17"/>
      <c r="J9" s="17"/>
      <c r="K9" s="17"/>
      <c r="L9" s="17"/>
      <c r="M9" s="18" t="str">
        <f aca="false">IF(OR(K9="",L9="",K9=0),"",(L9-K9)/ABS(K9))</f>
        <v/>
      </c>
      <c r="N9" s="19" t="str">
        <f aca="false">IF(M9="","",IF(M9&gt;0.02,"Rising",IF(M9&lt;-0.02,"Falling","Flat")))</f>
        <v/>
      </c>
      <c r="O9" s="23" t="s">
        <v>82</v>
      </c>
    </row>
    <row r="10" customFormat="false" ht="21.75" hidden="false" customHeight="true" outlineLevel="0" collapsed="false">
      <c r="B10" s="15" t="s">
        <v>83</v>
      </c>
      <c r="C10" s="16" t="s">
        <v>84</v>
      </c>
      <c r="D10" s="17"/>
      <c r="E10" s="17"/>
      <c r="F10" s="17"/>
      <c r="G10" s="17"/>
      <c r="H10" s="17"/>
      <c r="I10" s="17"/>
      <c r="J10" s="17"/>
      <c r="K10" s="17"/>
      <c r="L10" s="17"/>
      <c r="M10" s="18" t="str">
        <f aca="false">IF(OR(K10="",L10="",K10=0),"",(L10-K10)/ABS(K10))</f>
        <v/>
      </c>
      <c r="N10" s="19" t="str">
        <f aca="false">IF(M10="","",IF(M10&gt;0.02,"Rising",IF(M10&lt;-0.02,"Falling","Flat")))</f>
        <v/>
      </c>
      <c r="O10" s="20" t="s">
        <v>85</v>
      </c>
    </row>
    <row r="11" customFormat="false" ht="21.75" hidden="false" customHeight="true" outlineLevel="0" collapsed="false">
      <c r="B11" s="21" t="s">
        <v>86</v>
      </c>
      <c r="C11" s="22" t="s">
        <v>87</v>
      </c>
      <c r="D11" s="17"/>
      <c r="E11" s="17"/>
      <c r="F11" s="17"/>
      <c r="G11" s="17"/>
      <c r="H11" s="17"/>
      <c r="I11" s="17"/>
      <c r="J11" s="17"/>
      <c r="K11" s="17"/>
      <c r="L11" s="17"/>
      <c r="M11" s="18" t="str">
        <f aca="false">IF(OR(K11="",L11="",K11=0),"",(L11-K11)/ABS(K11))</f>
        <v/>
      </c>
      <c r="N11" s="19" t="str">
        <f aca="false">IF(M11="","",IF(M11&gt;0.02,"Rising",IF(M11&lt;-0.02,"Falling","Flat")))</f>
        <v/>
      </c>
      <c r="O11" s="23" t="s">
        <v>88</v>
      </c>
    </row>
    <row r="12" customFormat="false" ht="21.75" hidden="false" customHeight="true" outlineLevel="0" collapsed="false">
      <c r="B12" s="15" t="s">
        <v>89</v>
      </c>
      <c r="C12" s="16" t="s">
        <v>62</v>
      </c>
      <c r="D12" s="17"/>
      <c r="E12" s="17"/>
      <c r="F12" s="17"/>
      <c r="G12" s="17"/>
      <c r="H12" s="17"/>
      <c r="I12" s="17"/>
      <c r="J12" s="17"/>
      <c r="K12" s="17"/>
      <c r="L12" s="17"/>
      <c r="M12" s="18" t="str">
        <f aca="false">IF(OR(K12="",L12="",K12=0),"",(L12-K12)/ABS(K12))</f>
        <v/>
      </c>
      <c r="N12" s="19" t="str">
        <f aca="false">IF(M12="","",IF(M12&gt;0.02,"Rising",IF(M12&lt;-0.02,"Falling","Flat")))</f>
        <v/>
      </c>
      <c r="O12" s="20" t="s">
        <v>90</v>
      </c>
    </row>
    <row r="13" customFormat="false" ht="21.75" hidden="false" customHeight="true" outlineLevel="0" collapsed="false">
      <c r="B13" s="21" t="s">
        <v>91</v>
      </c>
      <c r="C13" s="22" t="s">
        <v>43</v>
      </c>
      <c r="D13" s="17"/>
      <c r="E13" s="17"/>
      <c r="F13" s="17"/>
      <c r="G13" s="17"/>
      <c r="H13" s="17"/>
      <c r="I13" s="17"/>
      <c r="J13" s="17"/>
      <c r="K13" s="17"/>
      <c r="L13" s="17"/>
      <c r="M13" s="18" t="str">
        <f aca="false">IF(OR(K13="",L13="",K13=0),"",(L13-K13)/ABS(K13))</f>
        <v/>
      </c>
      <c r="N13" s="19" t="str">
        <f aca="false">IF(M13="","",IF(M13&gt;0.02,"Rising",IF(M13&lt;-0.02,"Falling","Flat")))</f>
        <v/>
      </c>
      <c r="O13" s="23" t="s">
        <v>92</v>
      </c>
    </row>
    <row r="14" customFormat="false" ht="21.75" hidden="false" customHeight="true" outlineLevel="0" collapsed="false">
      <c r="B14" s="15" t="s">
        <v>93</v>
      </c>
      <c r="C14" s="16" t="s">
        <v>46</v>
      </c>
      <c r="D14" s="17"/>
      <c r="E14" s="17"/>
      <c r="F14" s="17"/>
      <c r="G14" s="17"/>
      <c r="H14" s="17"/>
      <c r="I14" s="17"/>
      <c r="J14" s="17"/>
      <c r="K14" s="17"/>
      <c r="L14" s="17"/>
      <c r="M14" s="18" t="str">
        <f aca="false">IF(OR(K14="",L14="",K14=0),"",(L14-K14)/ABS(K14))</f>
        <v/>
      </c>
      <c r="N14" s="19" t="str">
        <f aca="false">IF(M14="","",IF(M14&gt;0.02,"Rising",IF(M14&lt;-0.02,"Falling","Flat")))</f>
        <v/>
      </c>
      <c r="O14" s="20" t="s">
        <v>94</v>
      </c>
    </row>
    <row r="15" customFormat="false" ht="21.75" hidden="false" customHeight="true" outlineLevel="0" collapsed="false">
      <c r="B15" s="21" t="s">
        <v>95</v>
      </c>
      <c r="C15" s="22" t="s">
        <v>96</v>
      </c>
      <c r="D15" s="17"/>
      <c r="E15" s="17"/>
      <c r="F15" s="17"/>
      <c r="G15" s="17"/>
      <c r="H15" s="17"/>
      <c r="I15" s="17"/>
      <c r="J15" s="17"/>
      <c r="K15" s="17"/>
      <c r="L15" s="17"/>
      <c r="M15" s="18" t="str">
        <f aca="false">IF(OR(K15="",L15="",K15=0),"",(L15-K15)/ABS(K15))</f>
        <v/>
      </c>
      <c r="N15" s="19" t="str">
        <f aca="false">IF(M15="","",IF(M15&gt;0.02,"Rising",IF(M15&lt;-0.02,"Falling","Flat")))</f>
        <v/>
      </c>
      <c r="O15" s="23" t="s">
        <v>97</v>
      </c>
    </row>
    <row r="18" customFormat="false" ht="15" hidden="false" customHeight="true" outlineLevel="0" collapsed="false">
      <c r="B18" s="24" t="s">
        <v>73</v>
      </c>
      <c r="C18" s="24"/>
      <c r="D18" s="24"/>
      <c r="E18" s="24"/>
      <c r="F18" s="24"/>
      <c r="G18" s="24"/>
      <c r="H18" s="24"/>
      <c r="I18" s="24"/>
      <c r="J18" s="24"/>
      <c r="K18" s="24"/>
      <c r="L18" s="24"/>
      <c r="M18" s="24"/>
      <c r="N18" s="24"/>
      <c r="O18" s="24"/>
    </row>
    <row r="39" customFormat="false" ht="27" hidden="false" customHeight="true" outlineLevel="0" collapsed="false">
      <c r="B39" s="42" t="str">
        <f aca="false">HYPERLINK("https://cignalsystem.com/?utm_source=econiq&amp;utm_medium=signal-tracker&amp;utm_campaign=layer-2-industry","Tired of updating this tab by hand?  Cignal Pro tracks every signal automatically   →   cignalsystem.com")</f>
        <v>Tired of updating this tab by hand?  Cignal Pro tracks every signal automatically   →   cignalsystem.com</v>
      </c>
      <c r="C39" s="42"/>
      <c r="D39" s="42"/>
      <c r="E39" s="42"/>
      <c r="F39" s="42"/>
      <c r="G39" s="42"/>
      <c r="H39" s="42"/>
      <c r="I39" s="42"/>
      <c r="J39" s="42"/>
      <c r="K39" s="42"/>
      <c r="L39" s="42"/>
      <c r="M39" s="42"/>
      <c r="N39" s="42"/>
      <c r="O39" s="42"/>
    </row>
  </sheetData>
  <mergeCells count="6">
    <mergeCell ref="B39:O39"/>
    <mergeCell ref="B2:O2"/>
    <mergeCell ref="B3:O3"/>
    <mergeCell ref="B4:O4"/>
    <mergeCell ref="B5:O5"/>
    <mergeCell ref="B18:O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2D"/>
    <pageSetUpPr fitToPage="false"/>
  </sheetPr>
  <dimension ref="B1:O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14"/>
    <col collapsed="false" customWidth="true" hidden="false" outlineLevel="0" max="12" min="4" style="1" width="9"/>
    <col collapsed="false" customWidth="true" hidden="false" outlineLevel="0" max="14" min="13" style="1" width="11"/>
    <col collapsed="false" customWidth="true" hidden="false" outlineLevel="0" max="15" min="15" style="1" width="42"/>
  </cols>
  <sheetData>
    <row r="1" customFormat="false" ht="33.75" hidden="false" customHeight="true" outlineLevel="0" collapsed="false"/>
    <row r="2" customFormat="false" ht="21.75" hidden="false" customHeight="true" outlineLevel="0" collapsed="false">
      <c r="B2" s="10" t="s">
        <v>98</v>
      </c>
      <c r="C2" s="10"/>
      <c r="D2" s="10"/>
      <c r="E2" s="10"/>
      <c r="F2" s="10"/>
      <c r="G2" s="10"/>
      <c r="H2" s="10"/>
      <c r="I2" s="10"/>
      <c r="J2" s="10"/>
      <c r="K2" s="10"/>
      <c r="L2" s="10"/>
      <c r="M2" s="10"/>
      <c r="N2" s="10"/>
      <c r="O2" s="10"/>
    </row>
    <row r="3" customFormat="false" ht="15" hidden="false" customHeight="true" outlineLevel="0" collapsed="false">
      <c r="B3" s="11" t="s">
        <v>99</v>
      </c>
      <c r="C3" s="11"/>
      <c r="D3" s="11"/>
      <c r="E3" s="11"/>
      <c r="F3" s="11"/>
      <c r="G3" s="11"/>
      <c r="H3" s="11"/>
      <c r="I3" s="11"/>
      <c r="J3" s="11"/>
      <c r="K3" s="11"/>
      <c r="L3" s="11"/>
      <c r="M3" s="11"/>
      <c r="N3" s="11"/>
      <c r="O3" s="11"/>
    </row>
    <row r="4" customFormat="false" ht="15" hidden="false" customHeight="true" outlineLevel="0" collapsed="false">
      <c r="B4" s="12" t="s">
        <v>100</v>
      </c>
      <c r="C4" s="12"/>
      <c r="D4" s="12"/>
      <c r="E4" s="12"/>
      <c r="F4" s="12"/>
      <c r="G4" s="12"/>
      <c r="H4" s="12"/>
      <c r="I4" s="12"/>
      <c r="J4" s="12"/>
      <c r="K4" s="12"/>
      <c r="L4" s="12"/>
      <c r="M4" s="12"/>
      <c r="N4" s="12"/>
      <c r="O4" s="12"/>
    </row>
    <row r="5" customFormat="false" ht="15" hidden="false" customHeight="true" outlineLevel="0" collapsed="false">
      <c r="B5" s="13" t="s">
        <v>24</v>
      </c>
      <c r="C5" s="13"/>
      <c r="D5" s="13"/>
      <c r="E5" s="13"/>
      <c r="F5" s="13"/>
      <c r="G5" s="13"/>
      <c r="H5" s="13"/>
      <c r="I5" s="13"/>
      <c r="J5" s="13"/>
      <c r="K5" s="13"/>
      <c r="L5" s="13"/>
      <c r="M5" s="13"/>
      <c r="N5" s="13"/>
      <c r="O5" s="13"/>
    </row>
    <row r="7" customFormat="false" ht="30" hidden="false" customHeight="true" outlineLevel="0" collapsed="false">
      <c r="B7" s="14" t="s">
        <v>25</v>
      </c>
      <c r="C7" s="14" t="s">
        <v>26</v>
      </c>
      <c r="D7" s="14" t="s">
        <v>27</v>
      </c>
      <c r="E7" s="14" t="s">
        <v>28</v>
      </c>
      <c r="F7" s="14" t="s">
        <v>29</v>
      </c>
      <c r="G7" s="14" t="s">
        <v>30</v>
      </c>
      <c r="H7" s="14" t="s">
        <v>31</v>
      </c>
      <c r="I7" s="14" t="s">
        <v>32</v>
      </c>
      <c r="J7" s="14" t="s">
        <v>33</v>
      </c>
      <c r="K7" s="14" t="s">
        <v>34</v>
      </c>
      <c r="L7" s="14" t="s">
        <v>35</v>
      </c>
      <c r="M7" s="14" t="s">
        <v>36</v>
      </c>
      <c r="N7" s="14" t="s">
        <v>37</v>
      </c>
      <c r="O7" s="14" t="s">
        <v>38</v>
      </c>
    </row>
    <row r="8" customFormat="false" ht="21.75" hidden="false" customHeight="true" outlineLevel="0" collapsed="false">
      <c r="B8" s="15" t="s">
        <v>101</v>
      </c>
      <c r="C8" s="16" t="s">
        <v>46</v>
      </c>
      <c r="D8" s="17"/>
      <c r="E8" s="17"/>
      <c r="F8" s="17"/>
      <c r="G8" s="17"/>
      <c r="H8" s="17"/>
      <c r="I8" s="17"/>
      <c r="J8" s="17"/>
      <c r="K8" s="17"/>
      <c r="L8" s="17"/>
      <c r="M8" s="18" t="str">
        <f aca="false">IF(OR(K8="",L8="",K8=0),"",(L8-K8)/ABS(K8))</f>
        <v/>
      </c>
      <c r="N8" s="19" t="str">
        <f aca="false">IF(M8="","",IF(M8&gt;0.02,"Rising",IF(M8&lt;-0.02,"Falling","Flat")))</f>
        <v/>
      </c>
      <c r="O8" s="20" t="s">
        <v>102</v>
      </c>
    </row>
    <row r="9" customFormat="false" ht="21.75" hidden="false" customHeight="true" outlineLevel="0" collapsed="false">
      <c r="B9" s="21" t="s">
        <v>103</v>
      </c>
      <c r="C9" s="22" t="s">
        <v>104</v>
      </c>
      <c r="D9" s="17"/>
      <c r="E9" s="17"/>
      <c r="F9" s="17"/>
      <c r="G9" s="17"/>
      <c r="H9" s="17"/>
      <c r="I9" s="17"/>
      <c r="J9" s="17"/>
      <c r="K9" s="17"/>
      <c r="L9" s="17"/>
      <c r="M9" s="18" t="str">
        <f aca="false">IF(OR(K9="",L9="",K9=0),"",(L9-K9)/ABS(K9))</f>
        <v/>
      </c>
      <c r="N9" s="19" t="str">
        <f aca="false">IF(M9="","",IF(M9&gt;0.02,"Rising",IF(M9&lt;-0.02,"Falling","Flat")))</f>
        <v/>
      </c>
      <c r="O9" s="23" t="s">
        <v>105</v>
      </c>
    </row>
    <row r="10" customFormat="false" ht="21.75" hidden="false" customHeight="true" outlineLevel="0" collapsed="false">
      <c r="B10" s="15" t="s">
        <v>106</v>
      </c>
      <c r="C10" s="16" t="s">
        <v>107</v>
      </c>
      <c r="D10" s="17"/>
      <c r="E10" s="17"/>
      <c r="F10" s="17"/>
      <c r="G10" s="17"/>
      <c r="H10" s="17"/>
      <c r="I10" s="17"/>
      <c r="J10" s="17"/>
      <c r="K10" s="17"/>
      <c r="L10" s="17"/>
      <c r="M10" s="18" t="str">
        <f aca="false">IF(OR(K10="",L10="",K10=0),"",(L10-K10)/ABS(K10))</f>
        <v/>
      </c>
      <c r="N10" s="19" t="str">
        <f aca="false">IF(M10="","",IF(M10&gt;0.02,"Rising",IF(M10&lt;-0.02,"Falling","Flat")))</f>
        <v/>
      </c>
      <c r="O10" s="20" t="s">
        <v>108</v>
      </c>
    </row>
    <row r="11" customFormat="false" ht="21.75" hidden="false" customHeight="true" outlineLevel="0" collapsed="false">
      <c r="B11" s="21" t="s">
        <v>109</v>
      </c>
      <c r="C11" s="22" t="s">
        <v>62</v>
      </c>
      <c r="D11" s="17"/>
      <c r="E11" s="17"/>
      <c r="F11" s="17"/>
      <c r="G11" s="17"/>
      <c r="H11" s="17"/>
      <c r="I11" s="17"/>
      <c r="J11" s="17"/>
      <c r="K11" s="17"/>
      <c r="L11" s="17"/>
      <c r="M11" s="18" t="str">
        <f aca="false">IF(OR(K11="",L11="",K11=0),"",(L11-K11)/ABS(K11))</f>
        <v/>
      </c>
      <c r="N11" s="19" t="str">
        <f aca="false">IF(M11="","",IF(M11&gt;0.02,"Rising",IF(M11&lt;-0.02,"Falling","Flat")))</f>
        <v/>
      </c>
      <c r="O11" s="23" t="s">
        <v>110</v>
      </c>
    </row>
    <row r="12" customFormat="false" ht="21.75" hidden="false" customHeight="true" outlineLevel="0" collapsed="false">
      <c r="B12" s="15" t="s">
        <v>111</v>
      </c>
      <c r="C12" s="16" t="s">
        <v>112</v>
      </c>
      <c r="D12" s="17"/>
      <c r="E12" s="17"/>
      <c r="F12" s="17"/>
      <c r="G12" s="17"/>
      <c r="H12" s="17"/>
      <c r="I12" s="17"/>
      <c r="J12" s="17"/>
      <c r="K12" s="17"/>
      <c r="L12" s="17"/>
      <c r="M12" s="18" t="str">
        <f aca="false">IF(OR(K12="",L12="",K12=0),"",(L12-K12)/ABS(K12))</f>
        <v/>
      </c>
      <c r="N12" s="19" t="str">
        <f aca="false">IF(M12="","",IF(M12&gt;0.02,"Rising",IF(M12&lt;-0.02,"Falling","Flat")))</f>
        <v/>
      </c>
      <c r="O12" s="20" t="s">
        <v>113</v>
      </c>
    </row>
    <row r="15" customFormat="false" ht="15" hidden="false" customHeight="true" outlineLevel="0" collapsed="false">
      <c r="B15" s="24" t="s">
        <v>73</v>
      </c>
      <c r="C15" s="24"/>
      <c r="D15" s="24"/>
      <c r="E15" s="24"/>
      <c r="F15" s="24"/>
      <c r="G15" s="24"/>
      <c r="H15" s="24"/>
      <c r="I15" s="24"/>
      <c r="J15" s="24"/>
      <c r="K15" s="24"/>
      <c r="L15" s="24"/>
      <c r="M15" s="24"/>
      <c r="N15" s="24"/>
      <c r="O15" s="24"/>
    </row>
    <row r="36" customFormat="false" ht="27" hidden="false" customHeight="true" outlineLevel="0" collapsed="false">
      <c r="B36" s="42" t="str">
        <f aca="false">HYPERLINK("https://cignalsystem.com/?utm_source=econiq&amp;utm_medium=signal-tracker&amp;utm_campaign=layer-1-submarket","Tired of updating this tab by hand?  Cignal Pro tracks every signal automatically   →   cignalsystem.com")</f>
        <v>Tired of updating this tab by hand?  Cignal Pro tracks every signal automatically   →   cignalsystem.com</v>
      </c>
      <c r="C36" s="42"/>
      <c r="D36" s="42"/>
      <c r="E36" s="42"/>
      <c r="F36" s="42"/>
      <c r="G36" s="42"/>
      <c r="H36" s="42"/>
      <c r="I36" s="42"/>
      <c r="J36" s="42"/>
      <c r="K36" s="42"/>
      <c r="L36" s="42"/>
      <c r="M36" s="42"/>
      <c r="N36" s="42"/>
      <c r="O36" s="42"/>
    </row>
  </sheetData>
  <mergeCells count="6">
    <mergeCell ref="B36:O36"/>
    <mergeCell ref="B2:O2"/>
    <mergeCell ref="B3:O3"/>
    <mergeCell ref="B4:O4"/>
    <mergeCell ref="B5:O5"/>
    <mergeCell ref="B15:O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B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4" min="3" style="1" width="16"/>
    <col collapsed="false" customWidth="true" hidden="false" outlineLevel="0" max="5" min="5" style="1" width="3"/>
    <col collapsed="false" customWidth="true" hidden="false" outlineLevel="0" max="6" min="6" style="1" width="26"/>
    <col collapsed="false" customWidth="true" hidden="false" outlineLevel="0" max="7" min="7" style="1" width="50"/>
  </cols>
  <sheetData>
    <row r="1" customFormat="false" ht="33.75" hidden="false" customHeight="true" outlineLevel="0" collapsed="false"/>
    <row r="2" customFormat="false" ht="21.75" hidden="false" customHeight="true" outlineLevel="0" collapsed="false">
      <c r="B2" s="10" t="s">
        <v>114</v>
      </c>
      <c r="C2" s="10"/>
      <c r="D2" s="10"/>
      <c r="E2" s="10"/>
      <c r="F2" s="10"/>
      <c r="G2" s="10"/>
    </row>
    <row r="3" customFormat="false" ht="15" hidden="false" customHeight="true" outlineLevel="0" collapsed="false">
      <c r="B3" s="11" t="s">
        <v>115</v>
      </c>
      <c r="C3" s="11"/>
      <c r="D3" s="11"/>
      <c r="E3" s="11"/>
      <c r="F3" s="11"/>
      <c r="G3" s="11"/>
    </row>
    <row r="4" customFormat="false" ht="3.75" hidden="false" customHeight="true" outlineLevel="0" collapsed="false">
      <c r="B4" s="25"/>
      <c r="C4" s="25"/>
      <c r="D4" s="25"/>
      <c r="E4" s="25"/>
      <c r="F4" s="25"/>
      <c r="G4" s="25"/>
    </row>
    <row r="6" customFormat="false" ht="26.25" hidden="false" customHeight="true" outlineLevel="0" collapsed="false">
      <c r="B6" s="26" t="s">
        <v>116</v>
      </c>
      <c r="C6" s="26"/>
      <c r="D6" s="26"/>
      <c r="F6" s="26" t="s">
        <v>117</v>
      </c>
      <c r="G6" s="26"/>
    </row>
    <row r="7" customFormat="false" ht="15" hidden="false" customHeight="true" outlineLevel="0" collapsed="false">
      <c r="B7" s="14" t="s">
        <v>118</v>
      </c>
      <c r="C7" s="14" t="s">
        <v>119</v>
      </c>
      <c r="D7" s="14" t="s">
        <v>120</v>
      </c>
    </row>
    <row r="8" customFormat="false" ht="23.25" hidden="false" customHeight="true" outlineLevel="0" collapsed="false">
      <c r="B8" s="27" t="s">
        <v>121</v>
      </c>
      <c r="C8" s="28" t="s">
        <v>122</v>
      </c>
      <c r="D8" s="28" t="s">
        <v>123</v>
      </c>
      <c r="F8" s="29" t="s">
        <v>124</v>
      </c>
      <c r="G8" s="30" t="str">
        <f aca="false">IF(COUNT(C9:C17)&lt;2,"Need 2+ years",IFERROR(CORREL(C9:C17,D9:D17),"Enter data"))</f>
        <v>Need 2+ years</v>
      </c>
    </row>
    <row r="9" customFormat="false" ht="15" hidden="false" customHeight="true" outlineLevel="0" collapsed="false">
      <c r="B9" s="31" t="s">
        <v>27</v>
      </c>
      <c r="C9" s="17"/>
      <c r="D9" s="17"/>
    </row>
    <row r="10" customFormat="false" ht="15" hidden="false" customHeight="true" outlineLevel="0" collapsed="false">
      <c r="B10" s="32" t="s">
        <v>28</v>
      </c>
      <c r="C10" s="17"/>
      <c r="D10" s="17"/>
      <c r="F10" s="29" t="s">
        <v>125</v>
      </c>
      <c r="G10" s="33" t="str">
        <f aca="false">IF(NOT(ISNUMBER(G8)),"",IF(ABS(G8)&gt;=0.8,"Very strong",IF(ABS(G8)&gt;=0.6,"Strong",IF(ABS(G8)&gt;=0.4,"Moderate",IF(ABS(G8)&gt;=0.2,"Weak","Very weak / none")))))</f>
        <v/>
      </c>
    </row>
    <row r="11" customFormat="false" ht="15" hidden="false" customHeight="true" outlineLevel="0" collapsed="false">
      <c r="B11" s="31" t="s">
        <v>29</v>
      </c>
      <c r="C11" s="17"/>
      <c r="D11" s="17"/>
    </row>
    <row r="12" customFormat="false" ht="15" hidden="false" customHeight="true" outlineLevel="0" collapsed="false">
      <c r="B12" s="32" t="s">
        <v>30</v>
      </c>
      <c r="C12" s="17"/>
      <c r="D12" s="17"/>
      <c r="F12" s="29" t="s">
        <v>126</v>
      </c>
      <c r="G12" s="33" t="str">
        <f aca="false">IF(NOT(ISNUMBER(G8)),"",IF(G8&gt;0.2,"Move together (positive)",IF(G8&lt;-0.2,"Move opposite (negative)","No clear direction")))</f>
        <v/>
      </c>
    </row>
    <row r="13" customFormat="false" ht="15" hidden="false" customHeight="true" outlineLevel="0" collapsed="false">
      <c r="B13" s="31" t="s">
        <v>31</v>
      </c>
      <c r="C13" s="17"/>
      <c r="D13" s="17"/>
    </row>
    <row r="14" customFormat="false" ht="18" hidden="false" customHeight="true" outlineLevel="0" collapsed="false">
      <c r="B14" s="32" t="s">
        <v>32</v>
      </c>
      <c r="C14" s="17"/>
      <c r="D14" s="17"/>
      <c r="F14" s="34" t="s">
        <v>127</v>
      </c>
      <c r="G14" s="35" t="str">
        <f aca="false">IF(NOT(ISNUMBER(G8)),"Enter at least two years of data for both signals.",IF(ABS(G8)&gt;=0.6,IF(G8&gt;0,"These two signals have moved together strongly. When one rises, the other has tended to rise. Test for causation below.","These two signals have moved opposite each other strongly. When one rises, the other has tended to fall. Test for causation below."),IF(ABS(G8)&gt;=0.4,"There is a moderate relationship. The signals show some tendency to move together, but the link is not tight. Treat with caution.","There is little to no statistical relationship between these two signals over the years entered. Be skeptical of any assumed connection.")))</f>
        <v>Enter at least two years of data for both signals.</v>
      </c>
    </row>
    <row r="15" customFormat="false" ht="18" hidden="false" customHeight="true" outlineLevel="0" collapsed="false">
      <c r="B15" s="31" t="s">
        <v>33</v>
      </c>
      <c r="C15" s="17"/>
      <c r="D15" s="17"/>
      <c r="F15" s="34"/>
      <c r="G15" s="34"/>
    </row>
    <row r="16" customFormat="false" ht="18" hidden="false" customHeight="true" outlineLevel="0" collapsed="false">
      <c r="B16" s="32" t="s">
        <v>34</v>
      </c>
      <c r="C16" s="17"/>
      <c r="D16" s="17"/>
      <c r="F16" s="34"/>
      <c r="G16" s="34"/>
    </row>
    <row r="17" customFormat="false" ht="18" hidden="false" customHeight="true" outlineLevel="0" collapsed="false">
      <c r="B17" s="31" t="s">
        <v>35</v>
      </c>
      <c r="C17" s="17"/>
      <c r="D17" s="17"/>
      <c r="F17" s="34"/>
      <c r="G17" s="34"/>
    </row>
    <row r="20" customFormat="false" ht="15" hidden="false" customHeight="true" outlineLevel="0" collapsed="false">
      <c r="B20" s="26" t="s">
        <v>128</v>
      </c>
      <c r="C20" s="26"/>
      <c r="D20" s="26"/>
      <c r="E20" s="26"/>
      <c r="F20" s="26"/>
      <c r="G20" s="26"/>
    </row>
    <row r="21" customFormat="false" ht="31.5" hidden="false" customHeight="true" outlineLevel="0" collapsed="false">
      <c r="B21" s="36" t="s">
        <v>129</v>
      </c>
      <c r="C21" s="36"/>
      <c r="D21" s="36"/>
      <c r="E21" s="36"/>
      <c r="F21" s="36"/>
      <c r="G21" s="36"/>
    </row>
    <row r="22" customFormat="false" ht="42" hidden="false" customHeight="true" outlineLevel="0" collapsed="false">
      <c r="B22" s="36" t="s">
        <v>130</v>
      </c>
      <c r="C22" s="36"/>
      <c r="D22" s="36"/>
      <c r="E22" s="36"/>
      <c r="F22" s="36"/>
      <c r="G22" s="36"/>
    </row>
    <row r="23" customFormat="false" ht="31.5" hidden="false" customHeight="true" outlineLevel="0" collapsed="false">
      <c r="B23" s="36" t="s">
        <v>131</v>
      </c>
      <c r="C23" s="36"/>
      <c r="D23" s="36"/>
      <c r="E23" s="36"/>
      <c r="F23" s="36"/>
      <c r="G23" s="36"/>
    </row>
    <row r="24" customFormat="false" ht="31.5" hidden="false" customHeight="true" outlineLevel="0" collapsed="false">
      <c r="B24" s="36" t="s">
        <v>132</v>
      </c>
      <c r="C24" s="36"/>
      <c r="D24" s="36"/>
      <c r="E24" s="36"/>
      <c r="F24" s="36"/>
      <c r="G24" s="36"/>
    </row>
    <row r="25" customFormat="false" ht="19.5" hidden="false" customHeight="true" outlineLevel="0" collapsed="false">
      <c r="B25" s="37" t="s">
        <v>133</v>
      </c>
      <c r="C25" s="37"/>
      <c r="D25" s="37"/>
      <c r="E25" s="37"/>
      <c r="F25" s="37"/>
      <c r="G25" s="37"/>
    </row>
    <row r="26" customFormat="false" ht="19.5" hidden="false" customHeight="true" outlineLevel="0" collapsed="false">
      <c r="B26" s="38"/>
      <c r="C26" s="38"/>
      <c r="D26" s="38"/>
      <c r="E26" s="38"/>
      <c r="F26" s="38"/>
      <c r="G26" s="38"/>
    </row>
    <row r="27" customFormat="false" ht="19.5" hidden="false" customHeight="true" outlineLevel="0" collapsed="false">
      <c r="B27" s="39"/>
      <c r="C27" s="39"/>
      <c r="D27" s="39"/>
      <c r="E27" s="39"/>
      <c r="F27" s="39"/>
      <c r="G27" s="39"/>
    </row>
    <row r="28" customFormat="false" ht="19.5" hidden="false" customHeight="true" outlineLevel="0" collapsed="false">
      <c r="B28" s="39"/>
      <c r="C28" s="39"/>
      <c r="D28" s="39"/>
      <c r="E28" s="39"/>
      <c r="F28" s="39"/>
      <c r="G28" s="39"/>
    </row>
    <row r="29" customFormat="false" ht="19.5" hidden="false" customHeight="true" outlineLevel="0" collapsed="false">
      <c r="B29" s="40"/>
      <c r="C29" s="40"/>
      <c r="D29" s="40"/>
      <c r="E29" s="40"/>
      <c r="F29" s="40"/>
      <c r="G29" s="40"/>
    </row>
    <row r="31" customFormat="false" ht="15" hidden="false" customHeight="true" outlineLevel="0" collapsed="false">
      <c r="B31" s="24" t="s">
        <v>134</v>
      </c>
      <c r="C31" s="24"/>
      <c r="D31" s="24"/>
      <c r="E31" s="24"/>
      <c r="F31" s="24"/>
      <c r="G31" s="24"/>
    </row>
    <row r="50" customFormat="false" ht="27" hidden="false" customHeight="true" outlineLevel="0" collapsed="false">
      <c r="B50" s="42" t="str">
        <f aca="false">HYPERLINK("https://cignalsystem.com/?utm_source=econiq&amp;utm_medium=signal-tracker&amp;utm_campaign=correlation","Tired of updating these signals by hand?  Cignal Pro tracks every signal automatically   →   cignalsystem.com")</f>
        <v>Tired of updating these signals by hand?  Cignal Pro tracks every signal automatically   →   cignalsystem.com</v>
      </c>
      <c r="C50" s="42"/>
      <c r="D50" s="42"/>
      <c r="E50" s="42"/>
      <c r="F50" s="42"/>
      <c r="G50" s="42"/>
    </row>
  </sheetData>
  <mergeCells count="19">
    <mergeCell ref="B50:G50"/>
    <mergeCell ref="B2:G2"/>
    <mergeCell ref="B3:G3"/>
    <mergeCell ref="B4:G4"/>
    <mergeCell ref="B6:D6"/>
    <mergeCell ref="F6:G6"/>
    <mergeCell ref="F14:F17"/>
    <mergeCell ref="G14:G17"/>
    <mergeCell ref="B20:G20"/>
    <mergeCell ref="B21:G21"/>
    <mergeCell ref="B22:G22"/>
    <mergeCell ref="B23:G23"/>
    <mergeCell ref="B24:G24"/>
    <mergeCell ref="B25:G25"/>
    <mergeCell ref="B26:G26"/>
    <mergeCell ref="B27:G27"/>
    <mergeCell ref="B28:G28"/>
    <mergeCell ref="B29:G29"/>
    <mergeCell ref="B31: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2026-05-21T02:38:57Z</dcterms:created>
  <dc:creator>openpyxl</dc:creator>
  <dc:description/>
  <dc:language>en-US</dc:language>
  <cp:lastModifiedBy/>
  <dcterms:modified xsi:type="dcterms:W3CDTF">2026-09-08T21:02:27Z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